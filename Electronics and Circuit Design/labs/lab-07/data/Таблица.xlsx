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7\"/>
    </mc:Choice>
  </mc:AlternateContent>
  <xr:revisionPtr revIDLastSave="0" documentId="13_ncr:1_{D44468E7-4FDD-4F89-AC9D-52A6F08034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8" i="1"/>
  <c r="D49" i="1"/>
  <c r="D50" i="1"/>
  <c r="D51" i="1"/>
  <c r="D52" i="1"/>
  <c r="D53" i="1"/>
  <c r="D45" i="1"/>
  <c r="D46" i="1"/>
  <c r="D44" i="1"/>
  <c r="F53" i="1"/>
  <c r="F52" i="1"/>
  <c r="F51" i="1"/>
  <c r="F50" i="1"/>
  <c r="F49" i="1"/>
  <c r="F48" i="1"/>
  <c r="F47" i="1"/>
  <c r="F46" i="1"/>
  <c r="F45" i="1"/>
  <c r="F44" i="1"/>
  <c r="F32" i="1"/>
  <c r="F33" i="1"/>
  <c r="F34" i="1"/>
  <c r="F35" i="1"/>
  <c r="F36" i="1"/>
  <c r="F37" i="1"/>
  <c r="F38" i="1"/>
  <c r="F39" i="1"/>
  <c r="F40" i="1"/>
  <c r="F31" i="1"/>
</calcChain>
</file>

<file path=xl/sharedStrings.xml><?xml version="1.0" encoding="utf-8"?>
<sst xmlns="http://schemas.openxmlformats.org/spreadsheetml/2006/main" count="93" uniqueCount="64">
  <si>
    <t>№</t>
  </si>
  <si>
    <t>F, кГц</t>
  </si>
  <si>
    <t>Uвых, мВ</t>
  </si>
  <si>
    <t>0.1</t>
  </si>
  <si>
    <t>0.5</t>
  </si>
  <si>
    <t>1.264</t>
  </si>
  <si>
    <t>7.244</t>
  </si>
  <si>
    <t>18.403</t>
  </si>
  <si>
    <t>113.797</t>
  </si>
  <si>
    <t>162.818</t>
  </si>
  <si>
    <t>233.184</t>
  </si>
  <si>
    <t>203.502</t>
  </si>
  <si>
    <t>161.767</t>
  </si>
  <si>
    <t>141.966</t>
  </si>
  <si>
    <t>130.878</t>
  </si>
  <si>
    <t>Uвых, мВ (C1=1мкФ)</t>
  </si>
  <si>
    <t>C3=0.001 мкФ</t>
  </si>
  <si>
    <t>C3=0.8 мкФ</t>
  </si>
  <si>
    <t>C1 = 1мкФ</t>
  </si>
  <si>
    <t>C1 = 0.005мкФ</t>
  </si>
  <si>
    <t>4.014</t>
  </si>
  <si>
    <t>4.802</t>
  </si>
  <si>
    <t>5.533</t>
  </si>
  <si>
    <t>24.497</t>
  </si>
  <si>
    <t>46.38</t>
  </si>
  <si>
    <t>141.475</t>
  </si>
  <si>
    <t>141.083</t>
  </si>
  <si>
    <t>121.957</t>
  </si>
  <si>
    <t>111.095</t>
  </si>
  <si>
    <t>104.557</t>
  </si>
  <si>
    <t>43.617</t>
  </si>
  <si>
    <t>51.973</t>
  </si>
  <si>
    <t>69.953</t>
  </si>
  <si>
    <t>208.331</t>
  </si>
  <si>
    <t>278.226</t>
  </si>
  <si>
    <t>294.266</t>
  </si>
  <si>
    <t>225.29</t>
  </si>
  <si>
    <t>172.208</t>
  </si>
  <si>
    <t>149.367</t>
  </si>
  <si>
    <t>136.935</t>
  </si>
  <si>
    <t>C4 = 5 мкФ</t>
  </si>
  <si>
    <t>Коэф. Усиления</t>
  </si>
  <si>
    <t>C4 = 10 мкФ</t>
  </si>
  <si>
    <t>51.964</t>
  </si>
  <si>
    <t>69.95</t>
  </si>
  <si>
    <t>208.311</t>
  </si>
  <si>
    <t>4.16</t>
  </si>
  <si>
    <t>278.188</t>
  </si>
  <si>
    <t>5.56</t>
  </si>
  <si>
    <t>294.287</t>
  </si>
  <si>
    <t>5.94</t>
  </si>
  <si>
    <t>225.301</t>
  </si>
  <si>
    <t>4.5</t>
  </si>
  <si>
    <t>172.196</t>
  </si>
  <si>
    <t>3.44</t>
  </si>
  <si>
    <t>149.338</t>
  </si>
  <si>
    <t>2.98</t>
  </si>
  <si>
    <t>136.92</t>
  </si>
  <si>
    <t>2.74</t>
  </si>
  <si>
    <t>50.818</t>
  </si>
  <si>
    <t>1.01</t>
  </si>
  <si>
    <t>R4 = 5 кОм</t>
  </si>
  <si>
    <t>R4 = 10 кОм</t>
  </si>
  <si>
    <t>резонансный усилитель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</si>
</sst>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6" xfId="0" applyFont="1" applyBorder="1"/>
    <xf numFmtId="0" fontId="1" fillId="0" borderId="9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2" fontId="1" fillId="2" borderId="2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45" workbookViewId="0">
      <selection activeCell="C56" sqref="C56"/>
    </sheetView>
  </sheetViews>
  <sheetFormatPr defaultRowHeight="14.5" x14ac:dyDescent="0.35"/>
  <cols>
    <col min="3" max="3" width="15.08984375" customWidth="1"/>
    <col min="4" max="4" width="29.08984375" customWidth="1"/>
    <col min="5" max="5" width="15.6328125" customWidth="1"/>
    <col min="6" max="6" width="16.81640625" customWidth="1"/>
    <col min="9" max="9" width="17.453125" customWidth="1"/>
  </cols>
  <sheetData>
    <row r="1" spans="1:9" x14ac:dyDescent="0.35">
      <c r="A1" s="2" t="s">
        <v>0</v>
      </c>
      <c r="B1" s="3" t="s">
        <v>1</v>
      </c>
      <c r="C1" s="4" t="s">
        <v>2</v>
      </c>
      <c r="D1" s="10" t="s">
        <v>18</v>
      </c>
      <c r="F1" s="2" t="s">
        <v>0</v>
      </c>
      <c r="G1" s="3" t="s">
        <v>1</v>
      </c>
      <c r="H1" s="4" t="s">
        <v>2</v>
      </c>
      <c r="I1" s="10" t="s">
        <v>19</v>
      </c>
    </row>
    <row r="2" spans="1:9" x14ac:dyDescent="0.35">
      <c r="A2" s="5">
        <v>1</v>
      </c>
      <c r="B2" s="1" t="s">
        <v>3</v>
      </c>
      <c r="C2" s="7">
        <v>43.725999999999999</v>
      </c>
      <c r="F2" s="5">
        <v>1</v>
      </c>
      <c r="G2" s="1" t="s">
        <v>3</v>
      </c>
      <c r="H2" s="7" t="s">
        <v>5</v>
      </c>
    </row>
    <row r="3" spans="1:9" x14ac:dyDescent="0.35">
      <c r="A3" s="5">
        <v>2</v>
      </c>
      <c r="B3" s="1" t="s">
        <v>4</v>
      </c>
      <c r="C3" s="7">
        <v>52.113999999999997</v>
      </c>
      <c r="F3" s="5">
        <v>2</v>
      </c>
      <c r="G3" s="1" t="s">
        <v>4</v>
      </c>
      <c r="H3" s="7" t="s">
        <v>6</v>
      </c>
    </row>
    <row r="4" spans="1:9" x14ac:dyDescent="0.35">
      <c r="A4" s="5">
        <v>3</v>
      </c>
      <c r="B4" s="1">
        <v>1</v>
      </c>
      <c r="C4" s="7">
        <v>70.12</v>
      </c>
      <c r="F4" s="5">
        <v>3</v>
      </c>
      <c r="G4" s="1">
        <v>1</v>
      </c>
      <c r="H4" s="7" t="s">
        <v>7</v>
      </c>
    </row>
    <row r="5" spans="1:9" x14ac:dyDescent="0.35">
      <c r="A5" s="5">
        <v>4</v>
      </c>
      <c r="B5" s="1">
        <v>5</v>
      </c>
      <c r="C5" s="7">
        <v>208.661</v>
      </c>
      <c r="F5" s="5">
        <v>4</v>
      </c>
      <c r="G5" s="1">
        <v>5</v>
      </c>
      <c r="H5" s="7" t="s">
        <v>8</v>
      </c>
    </row>
    <row r="6" spans="1:9" x14ac:dyDescent="0.35">
      <c r="A6" s="5">
        <v>5</v>
      </c>
      <c r="B6" s="1">
        <v>10</v>
      </c>
      <c r="C6" s="7">
        <v>278.45800000000003</v>
      </c>
      <c r="F6" s="5">
        <v>5</v>
      </c>
      <c r="G6" s="1">
        <v>10</v>
      </c>
      <c r="H6" s="7" t="s">
        <v>9</v>
      </c>
    </row>
    <row r="7" spans="1:9" x14ac:dyDescent="0.35">
      <c r="A7" s="5">
        <v>6</v>
      </c>
      <c r="B7" s="1">
        <v>50</v>
      </c>
      <c r="C7" s="7">
        <v>294.303</v>
      </c>
      <c r="F7" s="5">
        <v>6</v>
      </c>
      <c r="G7" s="1">
        <v>50</v>
      </c>
      <c r="H7" s="7" t="s">
        <v>10</v>
      </c>
    </row>
    <row r="8" spans="1:9" x14ac:dyDescent="0.35">
      <c r="A8" s="5">
        <v>7</v>
      </c>
      <c r="B8" s="1">
        <v>100</v>
      </c>
      <c r="C8" s="7">
        <v>225.31100000000001</v>
      </c>
      <c r="F8" s="5">
        <v>7</v>
      </c>
      <c r="G8" s="1">
        <v>100</v>
      </c>
      <c r="H8" s="7" t="s">
        <v>11</v>
      </c>
    </row>
    <row r="9" spans="1:9" x14ac:dyDescent="0.35">
      <c r="A9" s="5">
        <v>8</v>
      </c>
      <c r="B9" s="1">
        <v>150</v>
      </c>
      <c r="C9" s="7">
        <v>172.22200000000001</v>
      </c>
      <c r="F9" s="5">
        <v>8</v>
      </c>
      <c r="G9" s="1">
        <v>150</v>
      </c>
      <c r="H9" s="7" t="s">
        <v>12</v>
      </c>
    </row>
    <row r="10" spans="1:9" x14ac:dyDescent="0.35">
      <c r="A10" s="5">
        <v>9</v>
      </c>
      <c r="B10" s="1">
        <v>180</v>
      </c>
      <c r="C10" s="7">
        <v>149.38</v>
      </c>
      <c r="F10" s="5">
        <v>9</v>
      </c>
      <c r="G10" s="1">
        <v>180</v>
      </c>
      <c r="H10" s="7" t="s">
        <v>13</v>
      </c>
    </row>
    <row r="11" spans="1:9" ht="15" thickBot="1" x14ac:dyDescent="0.4">
      <c r="A11" s="6">
        <v>10</v>
      </c>
      <c r="B11" s="8">
        <v>200</v>
      </c>
      <c r="C11" s="9">
        <v>136.94300000000001</v>
      </c>
      <c r="F11" s="6">
        <v>10</v>
      </c>
      <c r="G11" s="8">
        <v>200</v>
      </c>
      <c r="H11" s="9" t="s">
        <v>14</v>
      </c>
    </row>
    <row r="13" spans="1:9" ht="15" thickBot="1" x14ac:dyDescent="0.4"/>
    <row r="14" spans="1:9" x14ac:dyDescent="0.35">
      <c r="A14" s="30" t="s">
        <v>0</v>
      </c>
      <c r="B14" s="28" t="s">
        <v>1</v>
      </c>
      <c r="C14" s="32" t="s">
        <v>15</v>
      </c>
      <c r="D14" s="33"/>
      <c r="E14" s="11"/>
    </row>
    <row r="15" spans="1:9" x14ac:dyDescent="0.35">
      <c r="A15" s="31"/>
      <c r="B15" s="29"/>
      <c r="C15" s="1" t="s">
        <v>16</v>
      </c>
      <c r="D15" s="7" t="s">
        <v>17</v>
      </c>
      <c r="E15" s="11"/>
    </row>
    <row r="16" spans="1:9" x14ac:dyDescent="0.35">
      <c r="A16" s="5">
        <v>1</v>
      </c>
      <c r="B16" s="1" t="s">
        <v>3</v>
      </c>
      <c r="C16" s="1" t="s">
        <v>20</v>
      </c>
      <c r="D16" s="12" t="s">
        <v>30</v>
      </c>
    </row>
    <row r="17" spans="1:6" x14ac:dyDescent="0.35">
      <c r="A17" s="5">
        <v>2</v>
      </c>
      <c r="B17" s="1" t="s">
        <v>4</v>
      </c>
      <c r="C17" s="1" t="s">
        <v>21</v>
      </c>
      <c r="D17" s="12" t="s">
        <v>31</v>
      </c>
    </row>
    <row r="18" spans="1:6" x14ac:dyDescent="0.35">
      <c r="A18" s="5">
        <v>3</v>
      </c>
      <c r="B18" s="1">
        <v>1</v>
      </c>
      <c r="C18" s="1" t="s">
        <v>22</v>
      </c>
      <c r="D18" s="12" t="s">
        <v>32</v>
      </c>
    </row>
    <row r="19" spans="1:6" x14ac:dyDescent="0.35">
      <c r="A19" s="5">
        <v>4</v>
      </c>
      <c r="B19" s="1">
        <v>5</v>
      </c>
      <c r="C19" s="1" t="s">
        <v>23</v>
      </c>
      <c r="D19" s="12" t="s">
        <v>33</v>
      </c>
    </row>
    <row r="20" spans="1:6" x14ac:dyDescent="0.35">
      <c r="A20" s="5">
        <v>5</v>
      </c>
      <c r="B20" s="1">
        <v>10</v>
      </c>
      <c r="C20" s="1" t="s">
        <v>24</v>
      </c>
      <c r="D20" s="12" t="s">
        <v>34</v>
      </c>
    </row>
    <row r="21" spans="1:6" x14ac:dyDescent="0.35">
      <c r="A21" s="5">
        <v>6</v>
      </c>
      <c r="B21" s="1">
        <v>50</v>
      </c>
      <c r="C21" s="1" t="s">
        <v>25</v>
      </c>
      <c r="D21" s="12" t="s">
        <v>35</v>
      </c>
    </row>
    <row r="22" spans="1:6" x14ac:dyDescent="0.35">
      <c r="A22" s="5">
        <v>7</v>
      </c>
      <c r="B22" s="1">
        <v>100</v>
      </c>
      <c r="C22" s="1" t="s">
        <v>26</v>
      </c>
      <c r="D22" s="12" t="s">
        <v>36</v>
      </c>
    </row>
    <row r="23" spans="1:6" x14ac:dyDescent="0.35">
      <c r="A23" s="5">
        <v>8</v>
      </c>
      <c r="B23" s="1">
        <v>150</v>
      </c>
      <c r="C23" s="1" t="s">
        <v>27</v>
      </c>
      <c r="D23" s="12" t="s">
        <v>37</v>
      </c>
    </row>
    <row r="24" spans="1:6" x14ac:dyDescent="0.35">
      <c r="A24" s="5">
        <v>9</v>
      </c>
      <c r="B24" s="1">
        <v>180</v>
      </c>
      <c r="C24" s="1" t="s">
        <v>28</v>
      </c>
      <c r="D24" s="12" t="s">
        <v>38</v>
      </c>
    </row>
    <row r="25" spans="1:6" ht="15" thickBot="1" x14ac:dyDescent="0.4">
      <c r="A25" s="6">
        <v>10</v>
      </c>
      <c r="B25" s="8">
        <v>200</v>
      </c>
      <c r="C25" s="8" t="s">
        <v>29</v>
      </c>
      <c r="D25" s="13" t="s">
        <v>39</v>
      </c>
    </row>
    <row r="28" spans="1:6" ht="15" thickBot="1" x14ac:dyDescent="0.4"/>
    <row r="29" spans="1:6" x14ac:dyDescent="0.35">
      <c r="A29" s="34" t="s">
        <v>0</v>
      </c>
      <c r="B29" s="36" t="s">
        <v>1</v>
      </c>
      <c r="C29" s="38" t="s">
        <v>40</v>
      </c>
      <c r="D29" s="33"/>
      <c r="E29" s="32" t="s">
        <v>42</v>
      </c>
      <c r="F29" s="33"/>
    </row>
    <row r="30" spans="1:6" ht="15" thickBot="1" x14ac:dyDescent="0.4">
      <c r="A30" s="35"/>
      <c r="B30" s="37"/>
      <c r="C30" s="6" t="s">
        <v>2</v>
      </c>
      <c r="D30" s="9" t="s">
        <v>41</v>
      </c>
      <c r="E30" s="8" t="s">
        <v>2</v>
      </c>
      <c r="F30" s="9" t="s">
        <v>41</v>
      </c>
    </row>
    <row r="31" spans="1:6" x14ac:dyDescent="0.35">
      <c r="A31" s="18">
        <v>1</v>
      </c>
      <c r="B31" s="19" t="s">
        <v>3</v>
      </c>
      <c r="C31" s="20" t="s">
        <v>59</v>
      </c>
      <c r="D31" s="25" t="s">
        <v>60</v>
      </c>
      <c r="E31" s="21">
        <v>68.016000000000005</v>
      </c>
      <c r="F31" s="26">
        <f>E31/50</f>
        <v>1.3603200000000002</v>
      </c>
    </row>
    <row r="32" spans="1:6" x14ac:dyDescent="0.35">
      <c r="A32" s="14">
        <v>2</v>
      </c>
      <c r="B32" s="16" t="s">
        <v>4</v>
      </c>
      <c r="C32" s="5" t="s">
        <v>43</v>
      </c>
      <c r="D32" s="22">
        <v>1.04</v>
      </c>
      <c r="E32" s="1">
        <v>252.19300000000001</v>
      </c>
      <c r="F32" s="26">
        <f t="shared" ref="F32:F40" si="0">E32/50</f>
        <v>5.0438600000000005</v>
      </c>
    </row>
    <row r="33" spans="1:6" x14ac:dyDescent="0.35">
      <c r="A33" s="14">
        <v>3</v>
      </c>
      <c r="B33" s="16">
        <v>1</v>
      </c>
      <c r="C33" s="5" t="s">
        <v>44</v>
      </c>
      <c r="D33" s="7">
        <v>1.4</v>
      </c>
      <c r="E33" s="1">
        <v>470.74</v>
      </c>
      <c r="F33" s="26">
        <f t="shared" si="0"/>
        <v>9.4147999999999996</v>
      </c>
    </row>
    <row r="34" spans="1:6" x14ac:dyDescent="0.35">
      <c r="A34" s="14">
        <v>4</v>
      </c>
      <c r="B34" s="16">
        <v>5</v>
      </c>
      <c r="C34" s="5" t="s">
        <v>45</v>
      </c>
      <c r="D34" s="23" t="s">
        <v>46</v>
      </c>
      <c r="E34" s="1">
        <v>1436</v>
      </c>
      <c r="F34" s="26">
        <f t="shared" si="0"/>
        <v>28.72</v>
      </c>
    </row>
    <row r="35" spans="1:6" x14ac:dyDescent="0.35">
      <c r="A35" s="14">
        <v>5</v>
      </c>
      <c r="B35" s="16">
        <v>10</v>
      </c>
      <c r="C35" s="5" t="s">
        <v>47</v>
      </c>
      <c r="D35" s="23" t="s">
        <v>48</v>
      </c>
      <c r="E35" s="1">
        <v>1467</v>
      </c>
      <c r="F35" s="26">
        <f t="shared" si="0"/>
        <v>29.34</v>
      </c>
    </row>
    <row r="36" spans="1:6" x14ac:dyDescent="0.35">
      <c r="A36" s="14">
        <v>6</v>
      </c>
      <c r="B36" s="16">
        <v>50</v>
      </c>
      <c r="C36" s="5" t="s">
        <v>49</v>
      </c>
      <c r="D36" s="23" t="s">
        <v>50</v>
      </c>
      <c r="E36" s="1">
        <v>548.46100000000001</v>
      </c>
      <c r="F36" s="26">
        <f t="shared" si="0"/>
        <v>10.96922</v>
      </c>
    </row>
    <row r="37" spans="1:6" x14ac:dyDescent="0.35">
      <c r="A37" s="14">
        <v>7</v>
      </c>
      <c r="B37" s="16">
        <v>100</v>
      </c>
      <c r="C37" s="5" t="s">
        <v>51</v>
      </c>
      <c r="D37" s="23" t="s">
        <v>52</v>
      </c>
      <c r="E37" s="1">
        <v>290.435</v>
      </c>
      <c r="F37" s="26">
        <f t="shared" si="0"/>
        <v>5.8087</v>
      </c>
    </row>
    <row r="38" spans="1:6" x14ac:dyDescent="0.35">
      <c r="A38" s="14">
        <v>8</v>
      </c>
      <c r="B38" s="16">
        <v>150</v>
      </c>
      <c r="C38" s="5" t="s">
        <v>53</v>
      </c>
      <c r="D38" s="23" t="s">
        <v>54</v>
      </c>
      <c r="E38" s="1">
        <v>196.536</v>
      </c>
      <c r="F38" s="26">
        <f t="shared" si="0"/>
        <v>3.93072</v>
      </c>
    </row>
    <row r="39" spans="1:6" x14ac:dyDescent="0.35">
      <c r="A39" s="14">
        <v>9</v>
      </c>
      <c r="B39" s="16">
        <v>180</v>
      </c>
      <c r="C39" s="5" t="s">
        <v>55</v>
      </c>
      <c r="D39" s="23" t="s">
        <v>56</v>
      </c>
      <c r="E39" s="1">
        <v>165.48099999999999</v>
      </c>
      <c r="F39" s="26">
        <f t="shared" si="0"/>
        <v>3.3096199999999998</v>
      </c>
    </row>
    <row r="40" spans="1:6" ht="15" thickBot="1" x14ac:dyDescent="0.4">
      <c r="A40" s="15">
        <v>10</v>
      </c>
      <c r="B40" s="17">
        <v>200</v>
      </c>
      <c r="C40" s="6" t="s">
        <v>57</v>
      </c>
      <c r="D40" s="24" t="s">
        <v>58</v>
      </c>
      <c r="E40" s="8">
        <v>148.33199999999999</v>
      </c>
      <c r="F40" s="27">
        <f t="shared" si="0"/>
        <v>2.9666399999999999</v>
      </c>
    </row>
    <row r="41" spans="1:6" ht="15" thickBot="1" x14ac:dyDescent="0.4"/>
    <row r="42" spans="1:6" x14ac:dyDescent="0.35">
      <c r="A42" s="34" t="s">
        <v>0</v>
      </c>
      <c r="B42" s="36" t="s">
        <v>1</v>
      </c>
      <c r="C42" s="38" t="s">
        <v>61</v>
      </c>
      <c r="D42" s="33"/>
      <c r="E42" s="32" t="s">
        <v>62</v>
      </c>
      <c r="F42" s="33"/>
    </row>
    <row r="43" spans="1:6" ht="15" thickBot="1" x14ac:dyDescent="0.4">
      <c r="A43" s="35"/>
      <c r="B43" s="37"/>
      <c r="C43" s="6" t="s">
        <v>2</v>
      </c>
      <c r="D43" s="9" t="s">
        <v>41</v>
      </c>
      <c r="E43" s="8" t="s">
        <v>2</v>
      </c>
      <c r="F43" s="9" t="s">
        <v>41</v>
      </c>
    </row>
    <row r="44" spans="1:6" x14ac:dyDescent="0.35">
      <c r="A44" s="18">
        <v>1</v>
      </c>
      <c r="B44" s="19" t="s">
        <v>3</v>
      </c>
      <c r="C44" s="20">
        <v>60.067</v>
      </c>
      <c r="D44" s="26">
        <f>C44/50</f>
        <v>1.2013400000000001</v>
      </c>
      <c r="E44" s="21">
        <v>58.084000000000003</v>
      </c>
      <c r="F44" s="26">
        <f>E44/50</f>
        <v>1.16168</v>
      </c>
    </row>
    <row r="45" spans="1:6" x14ac:dyDescent="0.35">
      <c r="A45" s="14">
        <v>2</v>
      </c>
      <c r="B45" s="16" t="s">
        <v>4</v>
      </c>
      <c r="C45" s="5">
        <v>286.935</v>
      </c>
      <c r="D45" s="26">
        <f t="shared" ref="D45:D53" si="1">C45/50</f>
        <v>5.7386999999999997</v>
      </c>
      <c r="E45" s="1">
        <v>281.99400000000003</v>
      </c>
      <c r="F45" s="26">
        <f t="shared" ref="F45:F53" si="2">E45/50</f>
        <v>5.6398800000000007</v>
      </c>
    </row>
    <row r="46" spans="1:6" x14ac:dyDescent="0.35">
      <c r="A46" s="14">
        <v>3</v>
      </c>
      <c r="B46" s="16">
        <v>1</v>
      </c>
      <c r="C46" s="5">
        <v>551.94799999999998</v>
      </c>
      <c r="D46" s="26">
        <f t="shared" si="1"/>
        <v>11.038959999999999</v>
      </c>
      <c r="E46" s="1">
        <v>513.10699999999997</v>
      </c>
      <c r="F46" s="26">
        <f t="shared" si="2"/>
        <v>10.262139999999999</v>
      </c>
    </row>
    <row r="47" spans="1:6" x14ac:dyDescent="0.35">
      <c r="A47" s="14">
        <v>4</v>
      </c>
      <c r="B47" s="16">
        <v>5</v>
      </c>
      <c r="C47" s="5">
        <v>1257</v>
      </c>
      <c r="D47" s="26">
        <f t="shared" si="1"/>
        <v>25.14</v>
      </c>
      <c r="E47" s="1">
        <v>767.23800000000006</v>
      </c>
      <c r="F47" s="26">
        <f>E47/50</f>
        <v>15.344760000000001</v>
      </c>
    </row>
    <row r="48" spans="1:6" x14ac:dyDescent="0.35">
      <c r="A48" s="14">
        <v>5</v>
      </c>
      <c r="B48" s="16">
        <v>10</v>
      </c>
      <c r="C48" s="5">
        <v>994.88499999999999</v>
      </c>
      <c r="D48" s="26">
        <f t="shared" si="1"/>
        <v>19.8977</v>
      </c>
      <c r="E48" s="1">
        <v>541.94500000000005</v>
      </c>
      <c r="F48" s="26">
        <f>E48/50</f>
        <v>10.838900000000001</v>
      </c>
    </row>
    <row r="49" spans="1:6" x14ac:dyDescent="0.35">
      <c r="A49" s="14">
        <v>6</v>
      </c>
      <c r="B49" s="16">
        <v>50</v>
      </c>
      <c r="C49" s="5">
        <v>251.92</v>
      </c>
      <c r="D49" s="26">
        <f t="shared" si="1"/>
        <v>5.0383999999999993</v>
      </c>
      <c r="E49" s="1">
        <v>128.50800000000001</v>
      </c>
      <c r="F49" s="26">
        <f t="shared" si="2"/>
        <v>2.57016</v>
      </c>
    </row>
    <row r="50" spans="1:6" x14ac:dyDescent="0.35">
      <c r="A50" s="14">
        <v>7</v>
      </c>
      <c r="B50" s="16">
        <v>100</v>
      </c>
      <c r="C50" s="5">
        <v>127.078</v>
      </c>
      <c r="D50" s="26">
        <f t="shared" si="1"/>
        <v>2.54156</v>
      </c>
      <c r="E50" s="1">
        <v>64.653000000000006</v>
      </c>
      <c r="F50" s="26">
        <f t="shared" si="2"/>
        <v>1.2930600000000001</v>
      </c>
    </row>
    <row r="51" spans="1:6" x14ac:dyDescent="0.35">
      <c r="A51" s="14">
        <v>8</v>
      </c>
      <c r="B51" s="16">
        <v>150</v>
      </c>
      <c r="C51" s="5">
        <v>84.856999999999999</v>
      </c>
      <c r="D51" s="26">
        <f t="shared" si="1"/>
        <v>1.6971400000000001</v>
      </c>
      <c r="E51" s="1">
        <v>43.151000000000003</v>
      </c>
      <c r="F51" s="26">
        <f t="shared" si="2"/>
        <v>0.86302000000000012</v>
      </c>
    </row>
    <row r="52" spans="1:6" x14ac:dyDescent="0.35">
      <c r="A52" s="14">
        <v>9</v>
      </c>
      <c r="B52" s="16">
        <v>180</v>
      </c>
      <c r="C52" s="5">
        <v>70.742999999999995</v>
      </c>
      <c r="D52" s="26">
        <f t="shared" si="1"/>
        <v>1.41486</v>
      </c>
      <c r="E52" s="1">
        <v>35.97</v>
      </c>
      <c r="F52" s="26">
        <f t="shared" si="2"/>
        <v>0.71939999999999993</v>
      </c>
    </row>
    <row r="53" spans="1:6" ht="15" thickBot="1" x14ac:dyDescent="0.4">
      <c r="A53" s="15">
        <v>10</v>
      </c>
      <c r="B53" s="17">
        <v>200</v>
      </c>
      <c r="C53" s="6">
        <v>63.68</v>
      </c>
      <c r="D53" s="27">
        <f t="shared" si="1"/>
        <v>1.2736000000000001</v>
      </c>
      <c r="E53" s="8">
        <v>32.377000000000002</v>
      </c>
      <c r="F53" s="27">
        <f t="shared" si="2"/>
        <v>0.64754</v>
      </c>
    </row>
    <row r="54" spans="1:6" ht="15" thickBot="1" x14ac:dyDescent="0.4"/>
    <row r="55" spans="1:6" ht="15" thickBot="1" x14ac:dyDescent="0.4">
      <c r="A55" s="2" t="s">
        <v>0</v>
      </c>
      <c r="B55" s="3" t="s">
        <v>1</v>
      </c>
      <c r="C55" s="4" t="s">
        <v>2</v>
      </c>
      <c r="D55" s="39" t="s">
        <v>63</v>
      </c>
    </row>
    <row r="56" spans="1:6" x14ac:dyDescent="0.35">
      <c r="A56" s="5">
        <v>1</v>
      </c>
      <c r="B56" s="1" t="s">
        <v>3</v>
      </c>
      <c r="C56" s="7">
        <v>0.24</v>
      </c>
    </row>
    <row r="57" spans="1:6" x14ac:dyDescent="0.35">
      <c r="A57" s="5">
        <v>2</v>
      </c>
      <c r="B57" s="1" t="s">
        <v>4</v>
      </c>
      <c r="C57" s="7">
        <v>5</v>
      </c>
    </row>
    <row r="58" spans="1:6" x14ac:dyDescent="0.35">
      <c r="A58" s="5">
        <v>3</v>
      </c>
      <c r="B58" s="1">
        <v>4</v>
      </c>
      <c r="C58" s="7">
        <v>135.239</v>
      </c>
    </row>
    <row r="59" spans="1:6" x14ac:dyDescent="0.35">
      <c r="A59" s="5">
        <v>4</v>
      </c>
      <c r="B59" s="1">
        <v>5</v>
      </c>
      <c r="C59" s="7">
        <v>4011</v>
      </c>
    </row>
    <row r="60" spans="1:6" x14ac:dyDescent="0.35">
      <c r="A60" s="5">
        <v>5</v>
      </c>
      <c r="B60" s="1">
        <v>6</v>
      </c>
      <c r="C60" s="7">
        <v>161.86500000000001</v>
      </c>
    </row>
    <row r="61" spans="1:6" x14ac:dyDescent="0.35">
      <c r="A61" s="5">
        <v>6</v>
      </c>
      <c r="B61" s="1">
        <v>25</v>
      </c>
      <c r="C61" s="7">
        <v>12.68</v>
      </c>
    </row>
    <row r="62" spans="1:6" x14ac:dyDescent="0.35">
      <c r="A62" s="5">
        <v>7</v>
      </c>
      <c r="B62" s="1">
        <v>50</v>
      </c>
      <c r="C62" s="7">
        <v>6.1539999999999999</v>
      </c>
    </row>
    <row r="63" spans="1:6" x14ac:dyDescent="0.35">
      <c r="A63" s="5">
        <v>8</v>
      </c>
      <c r="B63" s="1">
        <v>75</v>
      </c>
      <c r="C63" s="7">
        <v>4.0810000000000004</v>
      </c>
    </row>
    <row r="64" spans="1:6" x14ac:dyDescent="0.35">
      <c r="A64" s="5">
        <v>9</v>
      </c>
      <c r="B64" s="1">
        <v>100</v>
      </c>
      <c r="C64" s="7">
        <v>3.0550000000000002</v>
      </c>
    </row>
    <row r="65" spans="1:3" ht="15" thickBot="1" x14ac:dyDescent="0.4">
      <c r="A65" s="6">
        <v>10</v>
      </c>
      <c r="B65" s="8">
        <v>125</v>
      </c>
      <c r="C65" s="9">
        <v>2.4420000000000002</v>
      </c>
    </row>
  </sheetData>
  <mergeCells count="11">
    <mergeCell ref="E29:F29"/>
    <mergeCell ref="A42:A43"/>
    <mergeCell ref="B42:B43"/>
    <mergeCell ref="C42:D42"/>
    <mergeCell ref="E42:F42"/>
    <mergeCell ref="B14:B15"/>
    <mergeCell ref="A14:A15"/>
    <mergeCell ref="C14:D14"/>
    <mergeCell ref="A29:A30"/>
    <mergeCell ref="B29:B30"/>
    <mergeCell ref="C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2025-11-01T08:39:35Z</dcterms:modified>
</cp:coreProperties>
</file>