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on\Desktop\Лабораторные ЭИС\Лабораторная №4\"/>
    </mc:Choice>
  </mc:AlternateContent>
  <xr:revisionPtr revIDLastSave="0" documentId="13_ncr:1_{353C1B50-4E45-48F5-9ED6-F218001AB320}" xr6:coauthVersionLast="47" xr6:coauthVersionMax="47" xr10:uidLastSave="{00000000-0000-0000-0000-000000000000}"/>
  <bookViews>
    <workbookView xWindow="-110" yWindow="-110" windowWidth="19420" windowHeight="11500" xr2:uid="{8B9DB30B-C3C0-4074-873E-DE5F85A8937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F19" i="1"/>
  <c r="F25" i="1"/>
  <c r="D27" i="1"/>
  <c r="E13" i="1" s="1"/>
  <c r="D25" i="1"/>
  <c r="E11" i="1" s="1"/>
  <c r="D23" i="1"/>
  <c r="F23" i="1" s="1"/>
  <c r="D21" i="1"/>
  <c r="E7" i="1" s="1"/>
  <c r="D19" i="1"/>
  <c r="E5" i="1" s="1"/>
  <c r="B5" i="1"/>
  <c r="B6" i="1" s="1"/>
  <c r="B7" i="1" s="1"/>
  <c r="B8" i="1" s="1"/>
  <c r="B9" i="1" s="1"/>
  <c r="B10" i="1" s="1"/>
  <c r="B11" i="1" s="1"/>
  <c r="B12" i="1" s="1"/>
  <c r="B13" i="1" s="1"/>
  <c r="F27" i="1" l="1"/>
  <c r="E9" i="1"/>
  <c r="F21" i="1"/>
</calcChain>
</file>

<file path=xl/sharedStrings.xml><?xml version="1.0" encoding="utf-8"?>
<sst xmlns="http://schemas.openxmlformats.org/spreadsheetml/2006/main" count="37" uniqueCount="14">
  <si>
    <t>(2*пи())/</t>
  </si>
  <si>
    <t>一</t>
  </si>
  <si>
    <t>4/π = 1,27323954473516</t>
  </si>
  <si>
    <t>4/3π = 0,424413181578388</t>
  </si>
  <si>
    <t>4/5π = 0,254647908947033</t>
  </si>
  <si>
    <t>4/7π = 0,181891363533595</t>
  </si>
  <si>
    <t>4/9π = 0,141471060526129</t>
  </si>
  <si>
    <t>π/2</t>
  </si>
  <si>
    <t>1.244</t>
  </si>
  <si>
    <t>№</t>
  </si>
  <si>
    <t>An (Амплитудный спектр)</t>
  </si>
  <si>
    <r>
      <t>φ</t>
    </r>
    <r>
      <rPr>
        <b/>
        <sz val="12"/>
        <color rgb="FF000000"/>
        <rFont val="Aptos Display"/>
        <family val="2"/>
        <scheme val="major"/>
      </rPr>
      <t>n</t>
    </r>
    <r>
      <rPr>
        <b/>
        <sz val="14"/>
        <color rgb="FF000000"/>
        <rFont val="Aptos Display"/>
        <family val="2"/>
        <scheme val="major"/>
      </rPr>
      <t xml:space="preserve"> (Фазовый спектр)</t>
    </r>
  </si>
  <si>
    <t>Эксперементально полученный, амплитудный спектр</t>
  </si>
  <si>
    <t>Коэффициенты перед рядом Фурье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</si>
</sst>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Aptos Narrow"/>
      <family val="2"/>
      <charset val="204"/>
      <scheme val="minor"/>
    </font>
    <font>
      <b/>
      <sz val="16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202122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sz val="14"/>
      <color rgb="FF000000"/>
      <name val="Aptos Display"/>
      <family val="2"/>
      <scheme val="major"/>
    </font>
    <font>
      <b/>
      <sz val="12"/>
      <color rgb="FF000000"/>
      <name val="Aptos Display"/>
      <family val="2"/>
      <scheme val="major"/>
    </font>
    <font>
      <b/>
      <sz val="12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1294-B1CC-4DCA-9B72-E02AC04CB143}">
  <dimension ref="B2:G32"/>
  <sheetViews>
    <sheetView tabSelected="1" zoomScaleNormal="100" workbookViewId="0">
      <selection activeCell="B3" sqref="B3:G13"/>
    </sheetView>
  </sheetViews>
  <sheetFormatPr defaultColWidth="9.08984375" defaultRowHeight="14.5" x14ac:dyDescent="0.35"/>
  <cols>
    <col min="1" max="2" width="9.08984375" style="1"/>
    <col min="3" max="7" width="25.81640625" style="1" customWidth="1"/>
    <col min="8" max="16384" width="9.08984375" style="1"/>
  </cols>
  <sheetData>
    <row r="2" spans="2:7" ht="15" thickBot="1" x14ac:dyDescent="0.4"/>
    <row r="3" spans="2:7" ht="48" x14ac:dyDescent="0.35">
      <c r="B3" s="3" t="s">
        <v>9</v>
      </c>
      <c r="C3" s="15" t="s">
        <v>13</v>
      </c>
      <c r="D3" s="16"/>
      <c r="E3" s="12" t="s">
        <v>10</v>
      </c>
      <c r="F3" s="13" t="s">
        <v>11</v>
      </c>
      <c r="G3" s="14" t="s">
        <v>12</v>
      </c>
    </row>
    <row r="4" spans="2:7" ht="14.5" customHeight="1" x14ac:dyDescent="0.35">
      <c r="B4" s="4">
        <v>0</v>
      </c>
      <c r="C4" s="17" t="s">
        <v>1</v>
      </c>
      <c r="D4" s="18"/>
      <c r="E4" s="6" t="s">
        <v>1</v>
      </c>
      <c r="F4" s="6" t="s">
        <v>1</v>
      </c>
      <c r="G4" s="7" t="s">
        <v>1</v>
      </c>
    </row>
    <row r="5" spans="2:7" ht="14.5" customHeight="1" x14ac:dyDescent="0.35">
      <c r="B5" s="4">
        <f>B4+1</f>
        <v>1</v>
      </c>
      <c r="C5" s="19" t="s">
        <v>2</v>
      </c>
      <c r="D5" s="20"/>
      <c r="E5" s="5">
        <f>D19</f>
        <v>1.2732395447351628</v>
      </c>
      <c r="F5" s="5" t="s">
        <v>7</v>
      </c>
      <c r="G5" s="8" t="s">
        <v>8</v>
      </c>
    </row>
    <row r="6" spans="2:7" ht="14.5" customHeight="1" x14ac:dyDescent="0.35">
      <c r="B6" s="4">
        <f t="shared" ref="B6:B13" si="0">B5+1</f>
        <v>2</v>
      </c>
      <c r="C6" s="19" t="s">
        <v>1</v>
      </c>
      <c r="D6" s="20"/>
      <c r="E6" s="5" t="s">
        <v>1</v>
      </c>
      <c r="F6" s="6" t="s">
        <v>1</v>
      </c>
      <c r="G6" s="7" t="s">
        <v>1</v>
      </c>
    </row>
    <row r="7" spans="2:7" ht="14.5" customHeight="1" x14ac:dyDescent="0.35">
      <c r="B7" s="4">
        <f t="shared" si="0"/>
        <v>3</v>
      </c>
      <c r="C7" s="19" t="s">
        <v>3</v>
      </c>
      <c r="D7" s="20"/>
      <c r="E7" s="5">
        <f>D21</f>
        <v>0.42441318157838759</v>
      </c>
      <c r="F7" s="5" t="s">
        <v>7</v>
      </c>
      <c r="G7" s="8">
        <v>0.39500000000000002</v>
      </c>
    </row>
    <row r="8" spans="2:7" ht="14.5" customHeight="1" x14ac:dyDescent="0.35">
      <c r="B8" s="4">
        <f t="shared" si="0"/>
        <v>4</v>
      </c>
      <c r="C8" s="19" t="s">
        <v>1</v>
      </c>
      <c r="D8" s="20"/>
      <c r="E8" s="5" t="s">
        <v>1</v>
      </c>
      <c r="F8" s="6" t="s">
        <v>1</v>
      </c>
      <c r="G8" s="7" t="s">
        <v>1</v>
      </c>
    </row>
    <row r="9" spans="2:7" ht="14.5" customHeight="1" x14ac:dyDescent="0.35">
      <c r="B9" s="4">
        <f t="shared" si="0"/>
        <v>5</v>
      </c>
      <c r="C9" s="19" t="s">
        <v>4</v>
      </c>
      <c r="D9" s="20"/>
      <c r="E9" s="5">
        <f>D23</f>
        <v>0.25464790894703254</v>
      </c>
      <c r="F9" s="5" t="s">
        <v>7</v>
      </c>
      <c r="G9" s="8">
        <v>0.23899999999999999</v>
      </c>
    </row>
    <row r="10" spans="2:7" ht="14.5" customHeight="1" x14ac:dyDescent="0.35">
      <c r="B10" s="4">
        <f t="shared" si="0"/>
        <v>6</v>
      </c>
      <c r="C10" s="19" t="s">
        <v>1</v>
      </c>
      <c r="D10" s="20"/>
      <c r="E10" s="5" t="s">
        <v>1</v>
      </c>
      <c r="F10" s="6" t="s">
        <v>1</v>
      </c>
      <c r="G10" s="7" t="s">
        <v>1</v>
      </c>
    </row>
    <row r="11" spans="2:7" ht="14.5" customHeight="1" x14ac:dyDescent="0.35">
      <c r="B11" s="4">
        <f t="shared" si="0"/>
        <v>7</v>
      </c>
      <c r="C11" s="19" t="s">
        <v>5</v>
      </c>
      <c r="D11" s="20"/>
      <c r="E11" s="5">
        <f>D25</f>
        <v>0.18189136353359467</v>
      </c>
      <c r="F11" s="5" t="s">
        <v>7</v>
      </c>
      <c r="G11" s="8">
        <v>0.16900000000000001</v>
      </c>
    </row>
    <row r="12" spans="2:7" ht="14.5" customHeight="1" x14ac:dyDescent="0.35">
      <c r="B12" s="4">
        <f t="shared" si="0"/>
        <v>8</v>
      </c>
      <c r="C12" s="19" t="s">
        <v>1</v>
      </c>
      <c r="D12" s="20"/>
      <c r="E12" s="5" t="s">
        <v>1</v>
      </c>
      <c r="F12" s="6" t="s">
        <v>1</v>
      </c>
      <c r="G12" s="7" t="s">
        <v>1</v>
      </c>
    </row>
    <row r="13" spans="2:7" ht="15" customHeight="1" thickBot="1" x14ac:dyDescent="0.4">
      <c r="B13" s="9">
        <f t="shared" si="0"/>
        <v>9</v>
      </c>
      <c r="C13" s="21" t="s">
        <v>6</v>
      </c>
      <c r="D13" s="22"/>
      <c r="E13" s="10">
        <f>D27</f>
        <v>0.14147106052612921</v>
      </c>
      <c r="F13" s="10" t="s">
        <v>7</v>
      </c>
      <c r="G13" s="11">
        <v>0.13300000000000001</v>
      </c>
    </row>
    <row r="17" spans="2:6" x14ac:dyDescent="0.35">
      <c r="B17" s="1" t="s">
        <v>0</v>
      </c>
    </row>
    <row r="19" spans="2:6" x14ac:dyDescent="0.35">
      <c r="D19" s="2">
        <f>4/(1*PI())</f>
        <v>1.2732395447351628</v>
      </c>
      <c r="F19" s="1" t="str">
        <f>_xlfn.CONCAT(C5," = ",D19)</f>
        <v>4/π = 1,27323954473516 = 1,27323954473516</v>
      </c>
    </row>
    <row r="20" spans="2:6" x14ac:dyDescent="0.35">
      <c r="D20" s="2"/>
    </row>
    <row r="21" spans="2:6" x14ac:dyDescent="0.35">
      <c r="D21" s="2">
        <f>4/(3*PI())</f>
        <v>0.42441318157838759</v>
      </c>
      <c r="F21" s="1" t="str">
        <f>_xlfn.CONCAT(C7," = ",D21)</f>
        <v>4/3π = 0,424413181578388 = 0,424413181578388</v>
      </c>
    </row>
    <row r="22" spans="2:6" x14ac:dyDescent="0.35">
      <c r="D22" s="2"/>
    </row>
    <row r="23" spans="2:6" x14ac:dyDescent="0.35">
      <c r="D23" s="2">
        <f>4/(5*PI())</f>
        <v>0.25464790894703254</v>
      </c>
      <c r="F23" s="1" t="str">
        <f>_xlfn.CONCAT(C9," = ",D23)</f>
        <v>4/5π = 0,254647908947033 = 0,254647908947033</v>
      </c>
    </row>
    <row r="24" spans="2:6" x14ac:dyDescent="0.35">
      <c r="D24" s="2"/>
    </row>
    <row r="25" spans="2:6" x14ac:dyDescent="0.35">
      <c r="D25" s="2">
        <f>4/(7*PI())</f>
        <v>0.18189136353359467</v>
      </c>
      <c r="F25" s="1" t="str">
        <f>_xlfn.CONCAT(C11," = ",D25)</f>
        <v>4/7π = 0,181891363533595 = 0,181891363533595</v>
      </c>
    </row>
    <row r="26" spans="2:6" x14ac:dyDescent="0.35">
      <c r="D26" s="2"/>
    </row>
    <row r="27" spans="2:6" x14ac:dyDescent="0.35">
      <c r="D27" s="2">
        <f>4/(9*PI())</f>
        <v>0.14147106052612921</v>
      </c>
      <c r="F27" s="1" t="str">
        <f>_xlfn.CONCAT(C13," = ",D27)</f>
        <v>4/9π = 0,141471060526129 = 0,141471060526129</v>
      </c>
    </row>
    <row r="32" spans="2:6" x14ac:dyDescent="0.35">
      <c r="D32" s="1">
        <f>9*2*PI()*3000</f>
        <v>169646.00329384883</v>
      </c>
    </row>
  </sheetData>
  <mergeCells count="11">
    <mergeCell ref="C12:D12"/>
    <mergeCell ref="C13:D13"/>
    <mergeCell ref="C3:D3"/>
    <mergeCell ref="C4:D4"/>
    <mergeCell ref="C5:D5"/>
    <mergeCell ref="C6:D6"/>
    <mergeCell ref="C7:D7"/>
    <mergeCell ref="C8:D8"/>
    <mergeCell ref="C9:D9"/>
    <mergeCell ref="C10:D10"/>
    <mergeCell ref="C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Zhivov</dc:creator>
  <cp:lastModifiedBy>melon</cp:lastModifiedBy>
  <dcterms:created xsi:type="dcterms:W3CDTF">2024-10-04T00:49:14Z</dcterms:created>
  <dcterms:modified xsi:type="dcterms:W3CDTF">2025-10-02T06:34:52Z</dcterms:modified>
</cp:coreProperties>
</file>