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3\"/>
    </mc:Choice>
  </mc:AlternateContent>
  <xr:revisionPtr revIDLastSave="0" documentId="13_ncr:1_{A03407E2-165D-4F03-B790-32E9E35774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 s="1"/>
  <c r="J12" i="1"/>
  <c r="J13" i="1" s="1"/>
  <c r="I12" i="1"/>
  <c r="I13" i="1" s="1"/>
  <c r="H12" i="1"/>
  <c r="H13" i="1" s="1"/>
  <c r="G12" i="1"/>
  <c r="G13" i="1" s="1"/>
  <c r="F12" i="1"/>
  <c r="F13" i="1" s="1"/>
  <c r="E12" i="1"/>
  <c r="E13" i="1" s="1"/>
  <c r="D12" i="1"/>
  <c r="D13" i="1" s="1"/>
  <c r="C12" i="1"/>
  <c r="C13" i="1" s="1"/>
  <c r="K6" i="1"/>
  <c r="K7" i="1" s="1"/>
  <c r="J6" i="1"/>
  <c r="J7" i="1" s="1"/>
  <c r="I6" i="1"/>
  <c r="I7" i="1" s="1"/>
  <c r="H6" i="1"/>
  <c r="H7" i="1" s="1"/>
  <c r="G6" i="1"/>
  <c r="G7" i="1" s="1"/>
  <c r="F6" i="1"/>
  <c r="F7" i="1" s="1"/>
  <c r="E6" i="1"/>
  <c r="E7" i="1" s="1"/>
  <c r="D6" i="1"/>
  <c r="D7" i="1" s="1"/>
  <c r="C6" i="1"/>
  <c r="C7" i="1" s="1"/>
</calcChain>
</file>

<file path=xl/sharedStrings.xml><?xml version="1.0" encoding="utf-8"?>
<sst xmlns="http://schemas.openxmlformats.org/spreadsheetml/2006/main" count="10" uniqueCount="5">
  <si>
    <t>F, Гц</t>
  </si>
  <si>
    <r>
      <t>U</t>
    </r>
    <r>
      <rPr>
        <sz val="8"/>
        <color theme="1"/>
        <rFont val="Calibri"/>
        <family val="2"/>
        <scheme val="minor"/>
      </rPr>
      <t>вх</t>
    </r>
  </si>
  <si>
    <r>
      <t>U</t>
    </r>
    <r>
      <rPr>
        <sz val="8"/>
        <color theme="1"/>
        <rFont val="Calibri"/>
        <family val="2"/>
        <scheme val="minor"/>
      </rPr>
      <t>вых</t>
    </r>
  </si>
  <si>
    <r>
      <t>K = U</t>
    </r>
    <r>
      <rPr>
        <sz val="8"/>
        <color theme="1"/>
        <rFont val="Calibri"/>
        <family val="2"/>
        <scheme val="minor"/>
      </rPr>
      <t>вых</t>
    </r>
    <r>
      <rPr>
        <sz val="11"/>
        <color theme="1"/>
        <rFont val="Calibri"/>
        <family val="2"/>
        <scheme val="minor"/>
      </rPr>
      <t>/U</t>
    </r>
    <r>
      <rPr>
        <sz val="8"/>
        <color theme="1"/>
        <rFont val="Calibri"/>
        <family val="2"/>
        <scheme val="minor"/>
      </rPr>
      <t>вх</t>
    </r>
  </si>
  <si>
    <r>
      <t>K^ = K/K</t>
    </r>
    <r>
      <rPr>
        <sz val="8"/>
        <color theme="1"/>
        <rFont val="Calibri"/>
        <family val="2"/>
        <scheme val="minor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</si>
</sst>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L = 10 мГн, C = 10 нФ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Лист1!$C$3:$K$3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40000</c:v>
                </c:pt>
                <c:pt idx="6">
                  <c:v>60000</c:v>
                </c:pt>
                <c:pt idx="7">
                  <c:v>80000</c:v>
                </c:pt>
                <c:pt idx="8">
                  <c:v>100000</c:v>
                </c:pt>
              </c:numCache>
            </c:numRef>
          </c:xVal>
          <c:yVal>
            <c:numRef>
              <c:f>Лист1!$C$7:$K$7</c:f>
              <c:numCache>
                <c:formatCode>General</c:formatCode>
                <c:ptCount val="9"/>
                <c:pt idx="0">
                  <c:v>0.01</c:v>
                </c:pt>
                <c:pt idx="1">
                  <c:v>9.8551275637818909E-3</c:v>
                </c:pt>
                <c:pt idx="2">
                  <c:v>8.8764382191095538E-3</c:v>
                </c:pt>
                <c:pt idx="3">
                  <c:v>2.1888944472236117E-3</c:v>
                </c:pt>
                <c:pt idx="4">
                  <c:v>6.8328164082041018E-3</c:v>
                </c:pt>
                <c:pt idx="5">
                  <c:v>9.7388694347173583E-3</c:v>
                </c:pt>
                <c:pt idx="6">
                  <c:v>9.9053526763381687E-3</c:v>
                </c:pt>
                <c:pt idx="7">
                  <c:v>9.9519759879939974E-3</c:v>
                </c:pt>
                <c:pt idx="8">
                  <c:v>9.9719859929964984E-3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6-4B71-8F24-BD57F4768F63}"/>
            </c:ext>
          </c:extLst>
        </c:ser>
        <c:ser>
          <c:idx val="1"/>
          <c:order val="1"/>
          <c:tx>
            <c:v>L = 20 мГн, С = 20 нФ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Лист1!$C$9:$K$9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  <c:pt idx="6">
                  <c:v>10000</c:v>
                </c:pt>
                <c:pt idx="7">
                  <c:v>15000</c:v>
                </c:pt>
                <c:pt idx="8">
                  <c:v>100000</c:v>
                </c:pt>
              </c:numCache>
            </c:numRef>
          </c:xVal>
          <c:yVal>
            <c:numRef>
              <c:f>Лист1!$C$13:$K$13</c:f>
              <c:numCache>
                <c:formatCode>General</c:formatCode>
                <c:ptCount val="9"/>
                <c:pt idx="0">
                  <c:v>9.9843921960980474E-3</c:v>
                </c:pt>
                <c:pt idx="1">
                  <c:v>8.8656328164082032E-3</c:v>
                </c:pt>
                <c:pt idx="2">
                  <c:v>7.4959479739869928E-3</c:v>
                </c:pt>
                <c:pt idx="3">
                  <c:v>4.4840420210105047E-3</c:v>
                </c:pt>
                <c:pt idx="4">
                  <c:v>3.4057028514257128E-4</c:v>
                </c:pt>
                <c:pt idx="5">
                  <c:v>4.5208604302151073E-3</c:v>
                </c:pt>
                <c:pt idx="6">
                  <c:v>6.8328164082041018E-3</c:v>
                </c:pt>
                <c:pt idx="7">
                  <c:v>9.392296148074037E-3</c:v>
                </c:pt>
                <c:pt idx="8">
                  <c:v>9.9719859929964984E-3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0A-417F-9C3B-0919B832B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802673597196598E-2"/>
          <c:y val="0.88157726520294288"/>
          <c:w val="0.86161305950189071"/>
          <c:h val="9.7741182382851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178595</xdr:colOff>
      <xdr:row>15</xdr:row>
      <xdr:rowOff>9920</xdr:rowOff>
    </xdr:from>
    <xdr:to>
      <xdr:col>10</xdr:col>
      <xdr:colOff>210229</xdr:colOff>
      <xdr:row>34</xdr:row>
      <xdr:rowOff>49708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67752D-CCC0-44D7-A7DC-009D6DF24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tabSelected="1" zoomScale="64" zoomScaleNormal="64" workbookViewId="0">
      <selection activeCell="K13" sqref="B9:K13"/>
    </sheetView>
  </sheetViews>
  <sheetFormatPr defaultRowHeight="14.5" x14ac:dyDescent="0.35"/>
  <sheetData>
    <row r="2" spans="2:11" ht="15" thickBot="1" x14ac:dyDescent="0.4"/>
    <row r="3" spans="2:11" x14ac:dyDescent="0.35">
      <c r="B3" s="1" t="s">
        <v>0</v>
      </c>
      <c r="C3" s="2">
        <v>1000</v>
      </c>
      <c r="D3" s="2">
        <v>5000</v>
      </c>
      <c r="E3" s="2">
        <v>10000</v>
      </c>
      <c r="F3" s="2">
        <v>15000</v>
      </c>
      <c r="G3" s="2">
        <v>20000</v>
      </c>
      <c r="H3" s="2">
        <v>40000</v>
      </c>
      <c r="I3" s="2">
        <v>60000</v>
      </c>
      <c r="J3" s="2">
        <v>80000</v>
      </c>
      <c r="K3" s="3">
        <v>100000</v>
      </c>
    </row>
    <row r="4" spans="2:11" x14ac:dyDescent="0.35">
      <c r="B4" s="4" t="s">
        <v>1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  <c r="H4" s="5">
        <v>100</v>
      </c>
      <c r="I4" s="5">
        <v>100</v>
      </c>
      <c r="J4" s="5">
        <v>100</v>
      </c>
      <c r="K4" s="6">
        <v>100</v>
      </c>
    </row>
    <row r="5" spans="2:11" x14ac:dyDescent="0.35">
      <c r="B5" s="4" t="s">
        <v>2</v>
      </c>
      <c r="C5" s="5">
        <v>49.975000000000001</v>
      </c>
      <c r="D5" s="5">
        <v>49.250999999999998</v>
      </c>
      <c r="E5" s="5">
        <v>44.36</v>
      </c>
      <c r="F5" s="5">
        <v>10.939</v>
      </c>
      <c r="G5" s="5">
        <v>34.146999999999998</v>
      </c>
      <c r="H5" s="5">
        <v>48.67</v>
      </c>
      <c r="I5" s="5">
        <v>49.502000000000002</v>
      </c>
      <c r="J5" s="5">
        <v>49.734999999999999</v>
      </c>
      <c r="K5" s="6">
        <v>49.835000000000001</v>
      </c>
    </row>
    <row r="6" spans="2:11" x14ac:dyDescent="0.35">
      <c r="B6" s="4" t="s">
        <v>3</v>
      </c>
      <c r="C6" s="5">
        <f t="shared" ref="C6:K6" si="0">C5/C4</f>
        <v>0.49975000000000003</v>
      </c>
      <c r="D6" s="5">
        <f t="shared" si="0"/>
        <v>0.49251</v>
      </c>
      <c r="E6" s="5">
        <f t="shared" si="0"/>
        <v>0.44359999999999999</v>
      </c>
      <c r="F6" s="5">
        <f t="shared" si="0"/>
        <v>0.10939</v>
      </c>
      <c r="G6" s="5">
        <f t="shared" si="0"/>
        <v>0.34147</v>
      </c>
      <c r="H6" s="5">
        <f t="shared" si="0"/>
        <v>0.48670000000000002</v>
      </c>
      <c r="I6" s="5">
        <f t="shared" si="0"/>
        <v>0.49502000000000002</v>
      </c>
      <c r="J6" s="5">
        <f t="shared" si="0"/>
        <v>0.49735000000000001</v>
      </c>
      <c r="K6" s="6">
        <f t="shared" si="0"/>
        <v>0.49835000000000002</v>
      </c>
    </row>
    <row r="7" spans="2:11" ht="15" thickBot="1" x14ac:dyDescent="0.4">
      <c r="B7" s="7" t="s">
        <v>4</v>
      </c>
      <c r="C7" s="8">
        <f>C6/MAX($C$5:$XX$5)</f>
        <v>0.01</v>
      </c>
      <c r="D7" s="8">
        <f t="shared" ref="D7:K7" si="1">D6/MAX($C$5:$XX$5)</f>
        <v>9.8551275637818909E-3</v>
      </c>
      <c r="E7" s="8">
        <f t="shared" si="1"/>
        <v>8.8764382191095538E-3</v>
      </c>
      <c r="F7" s="8">
        <f t="shared" si="1"/>
        <v>2.1888944472236117E-3</v>
      </c>
      <c r="G7" s="8">
        <f t="shared" si="1"/>
        <v>6.8328164082041018E-3</v>
      </c>
      <c r="H7" s="8">
        <f t="shared" si="1"/>
        <v>9.7388694347173583E-3</v>
      </c>
      <c r="I7" s="8">
        <f t="shared" si="1"/>
        <v>9.9053526763381687E-3</v>
      </c>
      <c r="J7" s="8">
        <f t="shared" si="1"/>
        <v>9.9519759879939974E-3</v>
      </c>
      <c r="K7" s="9">
        <f t="shared" si="1"/>
        <v>9.9719859929964984E-3</v>
      </c>
    </row>
    <row r="8" spans="2:11" ht="15" thickBot="1" x14ac:dyDescent="0.4"/>
    <row r="9" spans="2:11" x14ac:dyDescent="0.35">
      <c r="B9" s="1" t="s">
        <v>0</v>
      </c>
      <c r="C9" s="2">
        <v>1000</v>
      </c>
      <c r="D9" s="2">
        <v>5000</v>
      </c>
      <c r="E9" s="2">
        <v>6000</v>
      </c>
      <c r="F9" s="2">
        <v>7000</v>
      </c>
      <c r="G9" s="2">
        <v>8000</v>
      </c>
      <c r="H9" s="2">
        <v>9000</v>
      </c>
      <c r="I9" s="2">
        <v>10000</v>
      </c>
      <c r="J9" s="2">
        <v>15000</v>
      </c>
      <c r="K9" s="3">
        <v>100000</v>
      </c>
    </row>
    <row r="10" spans="2:11" x14ac:dyDescent="0.35">
      <c r="B10" s="4" t="s">
        <v>1</v>
      </c>
      <c r="C10" s="5">
        <v>100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  <c r="K10" s="6">
        <v>100</v>
      </c>
    </row>
    <row r="11" spans="2:11" x14ac:dyDescent="0.35">
      <c r="B11" s="4" t="s">
        <v>2</v>
      </c>
      <c r="C11" s="5">
        <v>49.896999999999998</v>
      </c>
      <c r="D11" s="5">
        <v>44.305999999999997</v>
      </c>
      <c r="E11" s="5">
        <v>37.460999999999999</v>
      </c>
      <c r="F11" s="5">
        <v>22.408999999999999</v>
      </c>
      <c r="G11" s="5">
        <v>1.702</v>
      </c>
      <c r="H11" s="5">
        <v>22.593</v>
      </c>
      <c r="I11" s="5">
        <v>34.146999999999998</v>
      </c>
      <c r="J11" s="5">
        <v>46.938000000000002</v>
      </c>
      <c r="K11" s="6">
        <v>49.835000000000001</v>
      </c>
    </row>
    <row r="12" spans="2:11" x14ac:dyDescent="0.35">
      <c r="B12" s="4" t="s">
        <v>3</v>
      </c>
      <c r="C12" s="5">
        <f t="shared" ref="C12:K12" si="2">C11/C10</f>
        <v>0.49896999999999997</v>
      </c>
      <c r="D12" s="5">
        <f t="shared" si="2"/>
        <v>0.44305999999999995</v>
      </c>
      <c r="E12" s="5">
        <f t="shared" si="2"/>
        <v>0.37461</v>
      </c>
      <c r="F12" s="5">
        <f t="shared" si="2"/>
        <v>0.22408999999999998</v>
      </c>
      <c r="G12" s="5">
        <f t="shared" si="2"/>
        <v>1.702E-2</v>
      </c>
      <c r="H12" s="5">
        <f t="shared" si="2"/>
        <v>0.22592999999999999</v>
      </c>
      <c r="I12" s="5">
        <f t="shared" si="2"/>
        <v>0.34147</v>
      </c>
      <c r="J12" s="5">
        <f t="shared" si="2"/>
        <v>0.46938000000000002</v>
      </c>
      <c r="K12" s="6">
        <f t="shared" si="2"/>
        <v>0.49835000000000002</v>
      </c>
    </row>
    <row r="13" spans="2:11" ht="15" thickBot="1" x14ac:dyDescent="0.4">
      <c r="B13" s="7" t="s">
        <v>4</v>
      </c>
      <c r="C13" s="8">
        <f>C12/MAX($C$5:$XX$5)</f>
        <v>9.9843921960980474E-3</v>
      </c>
      <c r="D13" s="8">
        <f t="shared" ref="D13:K13" si="3">D12/MAX($C$5:$XX$5)</f>
        <v>8.8656328164082032E-3</v>
      </c>
      <c r="E13" s="8">
        <f t="shared" si="3"/>
        <v>7.4959479739869928E-3</v>
      </c>
      <c r="F13" s="8">
        <f t="shared" si="3"/>
        <v>4.4840420210105047E-3</v>
      </c>
      <c r="G13" s="8">
        <f t="shared" si="3"/>
        <v>3.4057028514257128E-4</v>
      </c>
      <c r="H13" s="8">
        <f t="shared" si="3"/>
        <v>4.5208604302151073E-3</v>
      </c>
      <c r="I13" s="8">
        <f t="shared" si="3"/>
        <v>6.8328164082041018E-3</v>
      </c>
      <c r="J13" s="8">
        <f t="shared" si="3"/>
        <v>9.392296148074037E-3</v>
      </c>
      <c r="K13" s="9">
        <f t="shared" si="3"/>
        <v>9.9719859929964984E-3</v>
      </c>
    </row>
    <row r="14" spans="2:11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2025-09-25T07:37:08Z</dcterms:modified>
</cp:coreProperties>
</file>