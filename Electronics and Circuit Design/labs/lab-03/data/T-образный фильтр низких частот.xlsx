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F2032F19-983B-4B6B-BDE3-BF2D832C6C9B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I13" i="1"/>
  <c r="F13" i="1"/>
  <c r="G6" i="1"/>
  <c r="I6" i="1"/>
  <c r="I7" i="1" s="1"/>
  <c r="G13" i="1"/>
  <c r="G7" i="1"/>
  <c r="E13" i="1"/>
  <c r="K13" i="1"/>
  <c r="K14" i="1" s="1"/>
  <c r="J14" i="1"/>
  <c r="I14" i="1"/>
  <c r="H13" i="1"/>
  <c r="H14" i="1" s="1"/>
  <c r="G14" i="1"/>
  <c r="F14" i="1"/>
  <c r="E14" i="1"/>
  <c r="D13" i="1"/>
  <c r="D14" i="1" s="1"/>
  <c r="C13" i="1"/>
  <c r="C14" i="1" s="1"/>
  <c r="K6" i="1"/>
  <c r="K7" i="1" s="1"/>
  <c r="J6" i="1"/>
  <c r="J7" i="1" s="1"/>
  <c r="H6" i="1"/>
  <c r="H7" i="1" s="1"/>
  <c r="F6" i="1"/>
  <c r="F7" i="1" s="1"/>
  <c r="E6" i="1"/>
  <c r="E7" i="1" s="1"/>
  <c r="D6" i="1"/>
  <c r="D7" i="1" s="1"/>
  <c r="C6" i="1"/>
  <c r="C7" i="1" s="1"/>
</calcChain>
</file>

<file path=xl/sharedStrings.xml><?xml version="1.0" encoding="utf-8"?>
<sst xmlns="http://schemas.openxmlformats.org/spreadsheetml/2006/main" count="10" uniqueCount="5">
  <si>
    <t>F, Гц</t>
  </si>
  <si>
    <r>
      <t>U</t>
    </r>
    <r>
      <rPr>
        <sz val="8"/>
        <color theme="1"/>
        <rFont val="Calibri"/>
        <family val="2"/>
        <scheme val="minor"/>
      </rPr>
      <t>вх</t>
    </r>
  </si>
  <si>
    <r>
      <t>U</t>
    </r>
    <r>
      <rPr>
        <sz val="8"/>
        <color theme="1"/>
        <rFont val="Calibri"/>
        <family val="2"/>
        <scheme val="minor"/>
      </rPr>
      <t>вых</t>
    </r>
  </si>
  <si>
    <r>
      <t>K = U</t>
    </r>
    <r>
      <rPr>
        <sz val="8"/>
        <color theme="1"/>
        <rFont val="Calibri"/>
        <family val="2"/>
        <scheme val="minor"/>
      </rPr>
      <t>вых</t>
    </r>
    <r>
      <rPr>
        <sz val="11"/>
        <color theme="1"/>
        <rFont val="Calibri"/>
        <family val="2"/>
        <scheme val="minor"/>
      </rPr>
      <t>/U</t>
    </r>
    <r>
      <rPr>
        <sz val="8"/>
        <color theme="1"/>
        <rFont val="Calibri"/>
        <family val="2"/>
        <scheme val="minor"/>
      </rPr>
      <t>вх</t>
    </r>
  </si>
  <si>
    <r>
      <t>K^ = K/K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</si>
</sst>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L = 10 мГн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Лист1!$C$3:$K$3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Лист1!$C$7:$K$7</c:f>
              <c:numCache>
                <c:formatCode>General</c:formatCode>
                <c:ptCount val="9"/>
                <c:pt idx="0">
                  <c:v>0.01</c:v>
                </c:pt>
                <c:pt idx="1">
                  <c:v>9.5063138905592294E-3</c:v>
                </c:pt>
                <c:pt idx="2">
                  <c:v>8.2970535177390257E-3</c:v>
                </c:pt>
                <c:pt idx="3">
                  <c:v>3.9633193024654241E-3</c:v>
                </c:pt>
                <c:pt idx="4">
                  <c:v>2.0895971136500303E-3</c:v>
                </c:pt>
                <c:pt idx="5">
                  <c:v>1.1112447384245341E-3</c:v>
                </c:pt>
                <c:pt idx="6">
                  <c:v>8.9837642814191232E-4</c:v>
                </c:pt>
                <c:pt idx="7">
                  <c:v>6.7468430547203855E-4</c:v>
                </c:pt>
                <c:pt idx="8">
                  <c:v>5.6794948887552621E-4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B71-8F24-BD57F4768F63}"/>
            </c:ext>
          </c:extLst>
        </c:ser>
        <c:ser>
          <c:idx val="1"/>
          <c:order val="1"/>
          <c:tx>
            <c:v>L = 20 мГн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Лист1!$C$10:$K$10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Лист1!$C$14:$K$14</c:f>
              <c:numCache>
                <c:formatCode>General</c:formatCode>
                <c:ptCount val="9"/>
                <c:pt idx="0">
                  <c:v>9.9999999999999985E-3</c:v>
                </c:pt>
                <c:pt idx="1">
                  <c:v>8.3517946855517205E-3</c:v>
                </c:pt>
                <c:pt idx="2">
                  <c:v>5.7796138248290049E-3</c:v>
                </c:pt>
                <c:pt idx="3">
                  <c:v>1.6025059015798073E-3</c:v>
                </c:pt>
                <c:pt idx="4">
                  <c:v>6.7913564554203745E-4</c:v>
                </c:pt>
                <c:pt idx="5">
                  <c:v>3.2080382543429571E-4</c:v>
                </c:pt>
                <c:pt idx="6">
                  <c:v>2.5240602869075723E-4</c:v>
                </c:pt>
                <c:pt idx="7">
                  <c:v>1.8461352218388714E-4</c:v>
                </c:pt>
                <c:pt idx="8">
                  <c:v>1.5313842987712609E-4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6-4B71-8F24-BD57F4768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595314</xdr:colOff>
      <xdr:row>17</xdr:row>
      <xdr:rowOff>29765</xdr:rowOff>
    </xdr:from>
    <xdr:to>
      <xdr:col>10</xdr:col>
      <xdr:colOff>21713</xdr:colOff>
      <xdr:row>36</xdr:row>
      <xdr:rowOff>69553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67752D-CCC0-44D7-A7DC-009D6DF24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zoomScale="64" zoomScaleNormal="64" workbookViewId="0">
      <selection activeCell="K14" sqref="B10:K14"/>
    </sheetView>
  </sheetViews>
  <sheetFormatPr defaultRowHeight="14.5" x14ac:dyDescent="0.35"/>
  <sheetData>
    <row r="2" spans="2:11" ht="15" thickBot="1" x14ac:dyDescent="0.4"/>
    <row r="3" spans="2:11" x14ac:dyDescent="0.35">
      <c r="B3" s="1" t="s">
        <v>0</v>
      </c>
      <c r="C3" s="2">
        <v>1000</v>
      </c>
      <c r="D3" s="2">
        <v>5000</v>
      </c>
      <c r="E3" s="2">
        <v>10000</v>
      </c>
      <c r="F3" s="2">
        <v>30000</v>
      </c>
      <c r="G3" s="2">
        <v>50000</v>
      </c>
      <c r="H3" s="2">
        <v>75000</v>
      </c>
      <c r="I3" s="2">
        <v>85000</v>
      </c>
      <c r="J3" s="2">
        <v>100000</v>
      </c>
      <c r="K3" s="3">
        <v>110000</v>
      </c>
    </row>
    <row r="4" spans="2:11" x14ac:dyDescent="0.35">
      <c r="B4" s="4" t="s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6">
        <v>100</v>
      </c>
    </row>
    <row r="5" spans="2:11" x14ac:dyDescent="0.35">
      <c r="B5" s="4" t="s">
        <v>2</v>
      </c>
      <c r="C5" s="5">
        <v>33.26</v>
      </c>
      <c r="D5" s="5">
        <v>31.617999999999999</v>
      </c>
      <c r="E5" s="5">
        <v>27.596</v>
      </c>
      <c r="F5" s="5">
        <v>13.182</v>
      </c>
      <c r="G5" s="5">
        <v>6.95</v>
      </c>
      <c r="H5" s="5">
        <v>3.6960000000000002</v>
      </c>
      <c r="I5" s="5">
        <v>2.988</v>
      </c>
      <c r="J5" s="5">
        <v>2.2440000000000002</v>
      </c>
      <c r="K5" s="6">
        <v>1.889</v>
      </c>
    </row>
    <row r="6" spans="2:11" x14ac:dyDescent="0.35">
      <c r="B6" s="4" t="s">
        <v>3</v>
      </c>
      <c r="C6" s="5">
        <f t="shared" ref="C6:K6" si="0">C5/C4</f>
        <v>0.33260000000000001</v>
      </c>
      <c r="D6" s="5">
        <f t="shared" si="0"/>
        <v>0.31617999999999996</v>
      </c>
      <c r="E6" s="5">
        <f t="shared" si="0"/>
        <v>0.27595999999999998</v>
      </c>
      <c r="F6" s="5">
        <f t="shared" si="0"/>
        <v>0.13181999999999999</v>
      </c>
      <c r="G6" s="5">
        <f>G5/G4</f>
        <v>6.9500000000000006E-2</v>
      </c>
      <c r="H6" s="5">
        <f t="shared" si="0"/>
        <v>3.696E-2</v>
      </c>
      <c r="I6" s="5">
        <f>I5/I4</f>
        <v>2.988E-2</v>
      </c>
      <c r="J6" s="5">
        <f t="shared" si="0"/>
        <v>2.2440000000000002E-2</v>
      </c>
      <c r="K6" s="6">
        <f t="shared" si="0"/>
        <v>1.8890000000000001E-2</v>
      </c>
    </row>
    <row r="7" spans="2:11" ht="15" thickBot="1" x14ac:dyDescent="0.4">
      <c r="B7" s="7" t="s">
        <v>4</v>
      </c>
      <c r="C7" s="8">
        <f>C6/MAX($C$5:$XX$5)</f>
        <v>0.01</v>
      </c>
      <c r="D7" s="8">
        <f t="shared" ref="D7:K7" si="1">D6/MAX($C$5:$XX$5)</f>
        <v>9.5063138905592294E-3</v>
      </c>
      <c r="E7" s="8">
        <f t="shared" si="1"/>
        <v>8.2970535177390257E-3</v>
      </c>
      <c r="F7" s="8">
        <f t="shared" si="1"/>
        <v>3.9633193024654241E-3</v>
      </c>
      <c r="G7" s="8">
        <f t="shared" si="1"/>
        <v>2.0895971136500303E-3</v>
      </c>
      <c r="H7" s="8">
        <f t="shared" si="1"/>
        <v>1.1112447384245341E-3</v>
      </c>
      <c r="I7" s="8">
        <f t="shared" si="1"/>
        <v>8.9837642814191232E-4</v>
      </c>
      <c r="J7" s="8">
        <f t="shared" si="1"/>
        <v>6.7468430547203855E-4</v>
      </c>
      <c r="K7" s="9">
        <f t="shared" si="1"/>
        <v>5.6794948887552621E-4</v>
      </c>
    </row>
    <row r="9" spans="2:11" ht="15" thickBot="1" x14ac:dyDescent="0.4"/>
    <row r="10" spans="2:11" x14ac:dyDescent="0.35">
      <c r="B10" s="1" t="s">
        <v>0</v>
      </c>
      <c r="C10" s="2">
        <v>1000</v>
      </c>
      <c r="D10" s="2">
        <v>5000</v>
      </c>
      <c r="E10" s="2">
        <v>10000</v>
      </c>
      <c r="F10" s="2">
        <v>30000</v>
      </c>
      <c r="G10" s="2">
        <v>50000</v>
      </c>
      <c r="H10" s="2">
        <v>75000</v>
      </c>
      <c r="I10" s="2">
        <v>85000</v>
      </c>
      <c r="J10" s="2">
        <v>100000</v>
      </c>
      <c r="K10" s="3">
        <v>110000</v>
      </c>
    </row>
    <row r="11" spans="2:11" x14ac:dyDescent="0.35">
      <c r="B11" s="4" t="s">
        <v>1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6">
        <v>100</v>
      </c>
    </row>
    <row r="12" spans="2:11" x14ac:dyDescent="0.35">
      <c r="B12" s="4" t="s">
        <v>2</v>
      </c>
      <c r="C12" s="5">
        <v>33.042000000000002</v>
      </c>
      <c r="D12" s="5">
        <v>27.596</v>
      </c>
      <c r="E12" s="5">
        <v>19.097000000000001</v>
      </c>
      <c r="F12" s="5">
        <v>5.2949999999999999</v>
      </c>
      <c r="G12" s="5">
        <v>2.2440000000000002</v>
      </c>
      <c r="H12" s="5">
        <v>1.06</v>
      </c>
      <c r="I12" s="5">
        <v>0.83399999999999996</v>
      </c>
      <c r="J12" s="5">
        <v>0.61</v>
      </c>
      <c r="K12" s="6">
        <v>0.50600000000000001</v>
      </c>
    </row>
    <row r="13" spans="2:11" x14ac:dyDescent="0.35">
      <c r="B13" s="4" t="s">
        <v>3</v>
      </c>
      <c r="C13" s="5">
        <f>C12/C11</f>
        <v>0.33041999999999999</v>
      </c>
      <c r="D13" s="5">
        <f t="shared" ref="D13:F13" si="2">D12/D11</f>
        <v>0.27595999999999998</v>
      </c>
      <c r="E13" s="5">
        <f>E12/E11</f>
        <v>0.19097</v>
      </c>
      <c r="F13" s="5">
        <f>F12/F11</f>
        <v>5.2949999999999997E-2</v>
      </c>
      <c r="G13" s="5">
        <f>G12/G11</f>
        <v>2.2440000000000002E-2</v>
      </c>
      <c r="H13" s="5">
        <f>H12/H11</f>
        <v>1.06E-2</v>
      </c>
      <c r="I13" s="5">
        <f>I12/I11</f>
        <v>8.3400000000000002E-3</v>
      </c>
      <c r="J13" s="5">
        <f>J12/J11</f>
        <v>6.0999999999999995E-3</v>
      </c>
      <c r="K13" s="6">
        <f t="shared" ref="I13:K13" si="3">K12/K11</f>
        <v>5.0600000000000003E-3</v>
      </c>
    </row>
    <row r="14" spans="2:11" ht="15" thickBot="1" x14ac:dyDescent="0.4">
      <c r="B14" s="7" t="s">
        <v>4</v>
      </c>
      <c r="C14" s="8">
        <f>C13/MAX($C$12:$XX$12)</f>
        <v>9.9999999999999985E-3</v>
      </c>
      <c r="D14" s="8">
        <f t="shared" ref="D14:K14" si="4">D13/MAX($C$12:$XX$12)</f>
        <v>8.3517946855517205E-3</v>
      </c>
      <c r="E14" s="8">
        <f t="shared" si="4"/>
        <v>5.7796138248290049E-3</v>
      </c>
      <c r="F14" s="8">
        <f t="shared" si="4"/>
        <v>1.6025059015798073E-3</v>
      </c>
      <c r="G14" s="8">
        <f t="shared" si="4"/>
        <v>6.7913564554203745E-4</v>
      </c>
      <c r="H14" s="8">
        <f t="shared" si="4"/>
        <v>3.2080382543429571E-4</v>
      </c>
      <c r="I14" s="8">
        <f t="shared" si="4"/>
        <v>2.5240602869075723E-4</v>
      </c>
      <c r="J14" s="8">
        <f t="shared" si="4"/>
        <v>1.8461352218388714E-4</v>
      </c>
      <c r="K14" s="9">
        <f t="shared" si="4"/>
        <v>1.5313842987712609E-4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2025-09-25T06:25:16Z</dcterms:modified>
</cp:coreProperties>
</file>