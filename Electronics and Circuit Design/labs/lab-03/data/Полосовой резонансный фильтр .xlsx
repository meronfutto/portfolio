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7B5F7E74-3656-4E53-A7AB-613DCAEFDD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M13" i="1"/>
  <c r="N7" i="1"/>
  <c r="M7" i="1"/>
  <c r="E12" i="1"/>
  <c r="J6" i="1"/>
  <c r="K12" i="1"/>
  <c r="K13" i="1" s="1"/>
  <c r="J12" i="1"/>
  <c r="J13" i="1" s="1"/>
  <c r="I12" i="1"/>
  <c r="I13" i="1" s="1"/>
  <c r="H12" i="1"/>
  <c r="H13" i="1" s="1"/>
  <c r="G12" i="1"/>
  <c r="G13" i="1" s="1"/>
  <c r="F12" i="1"/>
  <c r="F13" i="1" s="1"/>
  <c r="E13" i="1"/>
  <c r="D12" i="1"/>
  <c r="D13" i="1" s="1"/>
  <c r="C12" i="1"/>
  <c r="C13" i="1" s="1"/>
  <c r="K6" i="1"/>
  <c r="K7" i="1" s="1"/>
  <c r="J7" i="1"/>
  <c r="I6" i="1"/>
  <c r="I7" i="1" s="1"/>
  <c r="H6" i="1"/>
  <c r="H7" i="1" s="1"/>
  <c r="G6" i="1"/>
  <c r="G7" i="1" s="1"/>
  <c r="F6" i="1"/>
  <c r="F7" i="1" s="1"/>
  <c r="E6" i="1"/>
  <c r="E7" i="1" s="1"/>
  <c r="D6" i="1"/>
  <c r="D7" i="1" s="1"/>
  <c r="C6" i="1"/>
  <c r="C7" i="1" s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<sst xmlns="http://schemas.openxmlformats.org/spreadsheetml/2006/main" count="10" uniqueCount="5">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</sst>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L = 10 мГн, C = 10 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40000</c:v>
                </c:pt>
                <c:pt idx="6">
                  <c:v>60000</c:v>
                </c:pt>
                <c:pt idx="7">
                  <c:v>80000</c:v>
                </c:pt>
                <c:pt idx="8">
                  <c:v>100000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1.2575869874401555E-3</c:v>
                </c:pt>
                <c:pt idx="1">
                  <c:v>5.7428737405100056E-3</c:v>
                </c:pt>
                <c:pt idx="2">
                  <c:v>9.0362773181626964E-3</c:v>
                </c:pt>
                <c:pt idx="3">
                  <c:v>0.01</c:v>
                </c:pt>
                <c:pt idx="4">
                  <c:v>9.7528094389134831E-3</c:v>
                </c:pt>
                <c:pt idx="5">
                  <c:v>6.8648464574026964E-3</c:v>
                </c:pt>
                <c:pt idx="6">
                  <c:v>4.950421666232648E-3</c:v>
                </c:pt>
                <c:pt idx="7">
                  <c:v>3.8220388213377129E-3</c:v>
                </c:pt>
                <c:pt idx="8">
                  <c:v>3.0998978385849644E-3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L = 20 мГн, С = 20 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Лист1!$C$9:$K$9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40000</c:v>
                </c:pt>
                <c:pt idx="6">
                  <c:v>60000</c:v>
                </c:pt>
                <c:pt idx="7">
                  <c:v>80000</c:v>
                </c:pt>
                <c:pt idx="8">
                  <c:v>100000</c:v>
                </c:pt>
              </c:numCache>
            </c:numRef>
          </c:xVal>
          <c:yVal>
            <c:numRef>
              <c:f>Лист1!$C$13:$K$13</c:f>
              <c:numCache>
                <c:formatCode>General</c:formatCode>
                <c:ptCount val="9"/>
                <c:pt idx="0">
                  <c:v>2.4859277658700746E-3</c:v>
                </c:pt>
                <c:pt idx="1">
                  <c:v>9.0362773181626964E-3</c:v>
                </c:pt>
                <c:pt idx="2">
                  <c:v>9.7528094389134831E-3</c:v>
                </c:pt>
                <c:pt idx="3">
                  <c:v>8.2780793653973277E-3</c:v>
                </c:pt>
                <c:pt idx="4">
                  <c:v>6.8648464574026964E-3</c:v>
                </c:pt>
                <c:pt idx="5">
                  <c:v>3.8220388213377129E-3</c:v>
                </c:pt>
                <c:pt idx="6">
                  <c:v>2.6027122854109493E-3</c:v>
                </c:pt>
                <c:pt idx="7">
                  <c:v>1.966907714188418E-3</c:v>
                </c:pt>
                <c:pt idx="8">
                  <c:v>1.5790949700526832E-3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A-417F-9C3B-0919B832B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802673597196598E-2"/>
          <c:y val="0.88157726520294288"/>
          <c:w val="0.86161305950189071"/>
          <c:h val="9.7741182382851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178595</xdr:colOff>
      <xdr:row>15</xdr:row>
      <xdr:rowOff>9920</xdr:rowOff>
    </xdr:from>
    <xdr:to>
      <xdr:col>10</xdr:col>
      <xdr:colOff>210229</xdr:colOff>
      <xdr:row>34</xdr:row>
      <xdr:rowOff>49708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3"/>
  <sheetViews>
    <sheetView tabSelected="1" topLeftCell="A2" zoomScale="64" zoomScaleNormal="64" workbookViewId="0">
      <selection activeCell="N7" sqref="N7"/>
    </sheetView>
  </sheetViews>
  <sheetFormatPr defaultRowHeight="14.5" x14ac:dyDescent="0.35"/>
  <sheetData>
    <row r="2" spans="2:14" ht="15" thickBot="1" x14ac:dyDescent="0.4"/>
    <row r="3" spans="2:14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15000</v>
      </c>
      <c r="G3" s="2">
        <v>20000</v>
      </c>
      <c r="H3" s="2">
        <v>40000</v>
      </c>
      <c r="I3" s="2">
        <v>60000</v>
      </c>
      <c r="J3" s="2">
        <v>80000</v>
      </c>
      <c r="K3" s="3">
        <v>100000</v>
      </c>
    </row>
    <row r="4" spans="2:14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4" x14ac:dyDescent="0.35">
      <c r="B5" s="4" t="s">
        <v>2</v>
      </c>
      <c r="C5" s="5">
        <v>6.2779999999999996</v>
      </c>
      <c r="D5" s="5">
        <v>28.669</v>
      </c>
      <c r="E5" s="5">
        <v>45.11</v>
      </c>
      <c r="F5" s="5">
        <v>49.920999999999999</v>
      </c>
      <c r="G5" s="5">
        <v>48.686999999999998</v>
      </c>
      <c r="H5" s="5">
        <v>34.270000000000003</v>
      </c>
      <c r="I5" s="5">
        <v>24.713000000000001</v>
      </c>
      <c r="J5" s="5">
        <v>19.079999999999998</v>
      </c>
      <c r="K5" s="6">
        <v>15.475</v>
      </c>
    </row>
    <row r="6" spans="2:14" x14ac:dyDescent="0.35">
      <c r="B6" s="4" t="s">
        <v>3</v>
      </c>
      <c r="C6" s="5">
        <f t="shared" ref="C6:K6" si="0">C5/C4</f>
        <v>6.2780000000000002E-2</v>
      </c>
      <c r="D6" s="5">
        <f t="shared" si="0"/>
        <v>0.28669</v>
      </c>
      <c r="E6" s="5">
        <f t="shared" si="0"/>
        <v>0.4511</v>
      </c>
      <c r="F6" s="5">
        <f t="shared" si="0"/>
        <v>0.49920999999999999</v>
      </c>
      <c r="G6" s="5">
        <f t="shared" si="0"/>
        <v>0.48686999999999997</v>
      </c>
      <c r="H6" s="5">
        <f t="shared" si="0"/>
        <v>0.3427</v>
      </c>
      <c r="I6" s="5">
        <f t="shared" si="0"/>
        <v>0.24713000000000002</v>
      </c>
      <c r="J6" s="5">
        <f>J5/J4</f>
        <v>0.19079999999999997</v>
      </c>
      <c r="K6" s="6">
        <f t="shared" si="0"/>
        <v>0.15475</v>
      </c>
    </row>
    <row r="7" spans="2:14" ht="15" thickBot="1" x14ac:dyDescent="0.4">
      <c r="B7" s="7" t="s">
        <v>4</v>
      </c>
      <c r="C7" s="8">
        <f>C6/MAX($C$5:$XX$5)</f>
        <v>1.2575869874401555E-3</v>
      </c>
      <c r="D7" s="8">
        <f t="shared" ref="D7:K7" si="1">D6/MAX($C$5:$XX$5)</f>
        <v>5.7428737405100056E-3</v>
      </c>
      <c r="E7" s="8">
        <f t="shared" si="1"/>
        <v>9.0362773181626964E-3</v>
      </c>
      <c r="F7" s="8">
        <f t="shared" si="1"/>
        <v>0.01</v>
      </c>
      <c r="G7" s="8">
        <f t="shared" si="1"/>
        <v>9.7528094389134831E-3</v>
      </c>
      <c r="H7" s="8">
        <f t="shared" si="1"/>
        <v>6.8648464574026964E-3</v>
      </c>
      <c r="I7" s="8">
        <f t="shared" si="1"/>
        <v>4.950421666232648E-3</v>
      </c>
      <c r="J7" s="8">
        <f t="shared" si="1"/>
        <v>3.8220388213377129E-3</v>
      </c>
      <c r="K7" s="9">
        <f t="shared" si="1"/>
        <v>3.0998978385849644E-3</v>
      </c>
      <c r="M7">
        <f>MAX(C7:K7)</f>
        <v>0.01</v>
      </c>
      <c r="N7">
        <f>M7*0.707</f>
        <v>7.0699999999999999E-3</v>
      </c>
    </row>
    <row r="8" spans="2:14" ht="15" thickBot="1" x14ac:dyDescent="0.4"/>
    <row r="9" spans="2:14" x14ac:dyDescent="0.35">
      <c r="B9" s="1" t="s">
        <v>0</v>
      </c>
      <c r="C9" s="2">
        <v>1000</v>
      </c>
      <c r="D9" s="2">
        <v>5000</v>
      </c>
      <c r="E9" s="2">
        <v>10000</v>
      </c>
      <c r="F9" s="2">
        <v>15000</v>
      </c>
      <c r="G9" s="2">
        <v>20000</v>
      </c>
      <c r="H9" s="2">
        <v>40000</v>
      </c>
      <c r="I9" s="2">
        <v>60000</v>
      </c>
      <c r="J9" s="2">
        <v>80000</v>
      </c>
      <c r="K9" s="3">
        <v>100000</v>
      </c>
    </row>
    <row r="10" spans="2:14" x14ac:dyDescent="0.35">
      <c r="B10" s="4" t="s">
        <v>1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6">
        <v>100</v>
      </c>
    </row>
    <row r="11" spans="2:14" x14ac:dyDescent="0.35">
      <c r="B11" s="4" t="s">
        <v>2</v>
      </c>
      <c r="C11" s="5">
        <v>12.41</v>
      </c>
      <c r="D11" s="5">
        <v>45.11</v>
      </c>
      <c r="E11" s="5">
        <v>48.686999999999998</v>
      </c>
      <c r="F11" s="5">
        <v>41.325000000000003</v>
      </c>
      <c r="G11" s="5">
        <v>34.270000000000003</v>
      </c>
      <c r="H11" s="5">
        <v>19.079999999999998</v>
      </c>
      <c r="I11" s="5">
        <v>12.993</v>
      </c>
      <c r="J11" s="5">
        <v>9.8190000000000008</v>
      </c>
      <c r="K11" s="6">
        <v>7.883</v>
      </c>
    </row>
    <row r="12" spans="2:14" x14ac:dyDescent="0.35">
      <c r="B12" s="4" t="s">
        <v>3</v>
      </c>
      <c r="C12" s="5">
        <f t="shared" ref="C12:K12" si="2">C11/C10</f>
        <v>0.1241</v>
      </c>
      <c r="D12" s="5">
        <f t="shared" si="2"/>
        <v>0.4511</v>
      </c>
      <c r="E12" s="5">
        <f>E11/E10</f>
        <v>0.48686999999999997</v>
      </c>
      <c r="F12" s="5">
        <f t="shared" si="2"/>
        <v>0.41325000000000001</v>
      </c>
      <c r="G12" s="5">
        <f t="shared" si="2"/>
        <v>0.3427</v>
      </c>
      <c r="H12" s="5">
        <f t="shared" si="2"/>
        <v>0.19079999999999997</v>
      </c>
      <c r="I12" s="5">
        <f t="shared" si="2"/>
        <v>0.12992999999999999</v>
      </c>
      <c r="J12" s="5">
        <f t="shared" si="2"/>
        <v>9.8190000000000013E-2</v>
      </c>
      <c r="K12" s="6">
        <f t="shared" si="2"/>
        <v>7.8829999999999997E-2</v>
      </c>
    </row>
    <row r="13" spans="2:14" ht="15" thickBot="1" x14ac:dyDescent="0.4">
      <c r="B13" s="7" t="s">
        <v>4</v>
      </c>
      <c r="C13" s="8">
        <f>C12/MAX($C$5:$XX$5)</f>
        <v>2.4859277658700746E-3</v>
      </c>
      <c r="D13" s="8">
        <f t="shared" ref="D13:K13" si="3">D12/MAX($C$5:$XX$5)</f>
        <v>9.0362773181626964E-3</v>
      </c>
      <c r="E13" s="8">
        <f t="shared" si="3"/>
        <v>9.7528094389134831E-3</v>
      </c>
      <c r="F13" s="8">
        <f t="shared" si="3"/>
        <v>8.2780793653973277E-3</v>
      </c>
      <c r="G13" s="8">
        <f t="shared" si="3"/>
        <v>6.8648464574026964E-3</v>
      </c>
      <c r="H13" s="8">
        <f t="shared" si="3"/>
        <v>3.8220388213377129E-3</v>
      </c>
      <c r="I13" s="8">
        <f t="shared" si="3"/>
        <v>2.6027122854109493E-3</v>
      </c>
      <c r="J13" s="8">
        <f t="shared" si="3"/>
        <v>1.966907714188418E-3</v>
      </c>
      <c r="K13" s="9">
        <f t="shared" si="3"/>
        <v>1.5790949700526832E-3</v>
      </c>
      <c r="M13">
        <f>MAX(C13:K13)</f>
        <v>9.7528094389134831E-3</v>
      </c>
      <c r="N13">
        <f>M13*0.707</f>
        <v>6.8952362733118323E-3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2025-09-25T09:34:46Z</dcterms:modified>
</cp:coreProperties>
</file>