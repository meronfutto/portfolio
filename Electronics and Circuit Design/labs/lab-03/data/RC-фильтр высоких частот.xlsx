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3\"/>
    </mc:Choice>
  </mc:AlternateContent>
  <xr:revisionPtr revIDLastSave="0" documentId="13_ncr:1_{2CA2C282-FA4E-4D8E-936D-0362AFB0898E}" xr6:coauthVersionLast="47" xr6:coauthVersionMax="47" xr10:uidLastSave="{00000000-0000-0000-0000-000000000000}"/>
  <bookViews>
    <workbookView xWindow="-110" yWindow="-110" windowWidth="19420" windowHeight="11500" firstSheet="8" activeTab="9" xr2:uid="{A5DE4F1C-6FBB-403C-A793-56926D0F4554}"/>
  </bookViews>
  <sheets>
    <sheet name="RC-выс" sheetId="1" r:id="rId1"/>
    <sheet name="RL-выс" sheetId="3" r:id="rId2"/>
    <sheet name="RC-низ" sheetId="4" r:id="rId3"/>
    <sheet name="RL-низ" sheetId="2" r:id="rId4"/>
    <sheet name="TRC-выс" sheetId="5" r:id="rId5"/>
    <sheet name="TRC-низ" sheetId="7" r:id="rId6"/>
    <sheet name="ПRC-выс" sheetId="8" r:id="rId7"/>
    <sheet name="ПRC-низ" sheetId="6" r:id="rId8"/>
    <sheet name="RLC-заг" sheetId="9" r:id="rId9"/>
    <sheet name="RLC-пол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0" l="1"/>
  <c r="J12" i="10"/>
  <c r="I12" i="10"/>
  <c r="H12" i="10"/>
  <c r="G12" i="10"/>
  <c r="F12" i="10"/>
  <c r="E12" i="10"/>
  <c r="D12" i="10"/>
  <c r="C12" i="10"/>
  <c r="K5" i="10"/>
  <c r="J5" i="10"/>
  <c r="I5" i="10"/>
  <c r="H5" i="10"/>
  <c r="G5" i="10"/>
  <c r="F5" i="10"/>
  <c r="C6" i="10" s="1"/>
  <c r="E5" i="10"/>
  <c r="D5" i="10"/>
  <c r="C5" i="10"/>
  <c r="K12" i="9"/>
  <c r="J12" i="9"/>
  <c r="I12" i="9"/>
  <c r="H12" i="9"/>
  <c r="G12" i="9"/>
  <c r="F12" i="9"/>
  <c r="E12" i="9"/>
  <c r="D12" i="9"/>
  <c r="C12" i="9"/>
  <c r="K5" i="9"/>
  <c r="J5" i="9"/>
  <c r="I5" i="9"/>
  <c r="H5" i="9"/>
  <c r="G5" i="9"/>
  <c r="F5" i="9"/>
  <c r="E5" i="9"/>
  <c r="D5" i="9"/>
  <c r="C5" i="9"/>
  <c r="K12" i="8"/>
  <c r="J12" i="8"/>
  <c r="I12" i="8"/>
  <c r="H12" i="8"/>
  <c r="G12" i="8"/>
  <c r="F12" i="8"/>
  <c r="E12" i="8"/>
  <c r="D12" i="8"/>
  <c r="C12" i="8"/>
  <c r="C13" i="8" s="1"/>
  <c r="K5" i="8"/>
  <c r="J5" i="8"/>
  <c r="I5" i="8"/>
  <c r="H5" i="8"/>
  <c r="G5" i="8"/>
  <c r="F5" i="8"/>
  <c r="E5" i="8"/>
  <c r="D5" i="8"/>
  <c r="C5" i="8"/>
  <c r="K12" i="7"/>
  <c r="J12" i="7"/>
  <c r="I12" i="7"/>
  <c r="H12" i="7"/>
  <c r="G12" i="7"/>
  <c r="F12" i="7"/>
  <c r="E12" i="7"/>
  <c r="D12" i="7"/>
  <c r="C12" i="7"/>
  <c r="K5" i="7"/>
  <c r="J5" i="7"/>
  <c r="I5" i="7"/>
  <c r="H5" i="7"/>
  <c r="G5" i="7"/>
  <c r="F5" i="7"/>
  <c r="E5" i="7"/>
  <c r="D5" i="7"/>
  <c r="C5" i="7"/>
  <c r="C5" i="6"/>
  <c r="K12" i="6"/>
  <c r="J12" i="6"/>
  <c r="I12" i="6"/>
  <c r="H12" i="6"/>
  <c r="G12" i="6"/>
  <c r="F12" i="6"/>
  <c r="E12" i="6"/>
  <c r="D12" i="6"/>
  <c r="C12" i="6"/>
  <c r="K5" i="6"/>
  <c r="J5" i="6"/>
  <c r="I5" i="6"/>
  <c r="H5" i="6"/>
  <c r="G5" i="6"/>
  <c r="F5" i="6"/>
  <c r="E5" i="6"/>
  <c r="D5" i="6"/>
  <c r="K5" i="5"/>
  <c r="K12" i="5"/>
  <c r="J12" i="5"/>
  <c r="I12" i="5"/>
  <c r="H12" i="5"/>
  <c r="G12" i="5"/>
  <c r="F12" i="5"/>
  <c r="E12" i="5"/>
  <c r="D12" i="5"/>
  <c r="C12" i="5"/>
  <c r="J5" i="5"/>
  <c r="I5" i="5"/>
  <c r="H5" i="5"/>
  <c r="G5" i="5"/>
  <c r="F5" i="5"/>
  <c r="E5" i="5"/>
  <c r="D5" i="5"/>
  <c r="C5" i="5"/>
  <c r="K12" i="4"/>
  <c r="J12" i="4"/>
  <c r="I12" i="4"/>
  <c r="H12" i="4"/>
  <c r="G12" i="4"/>
  <c r="F12" i="4"/>
  <c r="E12" i="4"/>
  <c r="D12" i="4"/>
  <c r="C12" i="4"/>
  <c r="K5" i="4"/>
  <c r="J5" i="4"/>
  <c r="I5" i="4"/>
  <c r="H5" i="4"/>
  <c r="G5" i="4"/>
  <c r="F5" i="4"/>
  <c r="E5" i="4"/>
  <c r="D5" i="4"/>
  <c r="C5" i="4"/>
  <c r="K13" i="3"/>
  <c r="J13" i="3"/>
  <c r="I13" i="3"/>
  <c r="H13" i="3"/>
  <c r="G13" i="3"/>
  <c r="F13" i="3"/>
  <c r="E13" i="3"/>
  <c r="D13" i="3"/>
  <c r="K12" i="3"/>
  <c r="C13" i="3" s="1"/>
  <c r="J12" i="3"/>
  <c r="I12" i="3"/>
  <c r="H12" i="3"/>
  <c r="G12" i="3"/>
  <c r="F12" i="3"/>
  <c r="E12" i="3"/>
  <c r="D12" i="3"/>
  <c r="C12" i="3"/>
  <c r="H6" i="3"/>
  <c r="G6" i="3"/>
  <c r="F6" i="3"/>
  <c r="E6" i="3"/>
  <c r="D6" i="3"/>
  <c r="C6" i="3"/>
  <c r="K5" i="3"/>
  <c r="K6" i="3" s="1"/>
  <c r="J5" i="3"/>
  <c r="J6" i="3" s="1"/>
  <c r="I5" i="3"/>
  <c r="H5" i="3"/>
  <c r="G5" i="3"/>
  <c r="F5" i="3"/>
  <c r="E5" i="3"/>
  <c r="D5" i="3"/>
  <c r="C5" i="3"/>
  <c r="K12" i="2"/>
  <c r="J12" i="2"/>
  <c r="I12" i="2"/>
  <c r="H12" i="2"/>
  <c r="G12" i="2"/>
  <c r="F12" i="2"/>
  <c r="E12" i="2"/>
  <c r="D12" i="2"/>
  <c r="C12" i="2"/>
  <c r="K5" i="2"/>
  <c r="J5" i="2"/>
  <c r="I5" i="2"/>
  <c r="H5" i="2"/>
  <c r="G5" i="2"/>
  <c r="F5" i="2"/>
  <c r="F6" i="2" s="1"/>
  <c r="E5" i="2"/>
  <c r="E6" i="2" s="1"/>
  <c r="D5" i="2"/>
  <c r="C5" i="2"/>
  <c r="K12" i="1"/>
  <c r="D13" i="1" s="1"/>
  <c r="J12" i="1"/>
  <c r="I12" i="1"/>
  <c r="H12" i="1"/>
  <c r="G12" i="1"/>
  <c r="F12" i="1"/>
  <c r="F13" i="1" s="1"/>
  <c r="E12" i="1"/>
  <c r="D12" i="1"/>
  <c r="C12" i="1"/>
  <c r="H5" i="1"/>
  <c r="J5" i="1"/>
  <c r="K5" i="1"/>
  <c r="D5" i="1"/>
  <c r="E5" i="1"/>
  <c r="F5" i="1"/>
  <c r="G5" i="1"/>
  <c r="I5" i="1"/>
  <c r="C5" i="1"/>
  <c r="C13" i="10" l="1"/>
  <c r="H6" i="10"/>
  <c r="G6" i="10"/>
  <c r="I6" i="10"/>
  <c r="D6" i="10"/>
  <c r="E6" i="10"/>
  <c r="F6" i="10"/>
  <c r="F13" i="10"/>
  <c r="I13" i="10"/>
  <c r="G13" i="10"/>
  <c r="H13" i="10"/>
  <c r="E13" i="10"/>
  <c r="D13" i="10"/>
  <c r="J6" i="10"/>
  <c r="K6" i="10"/>
  <c r="J13" i="10"/>
  <c r="K13" i="10"/>
  <c r="G6" i="9"/>
  <c r="H6" i="9"/>
  <c r="I6" i="9"/>
  <c r="J6" i="9"/>
  <c r="K6" i="9"/>
  <c r="E13" i="9"/>
  <c r="F13" i="9"/>
  <c r="G13" i="9"/>
  <c r="H13" i="9"/>
  <c r="I13" i="9"/>
  <c r="J13" i="9"/>
  <c r="K13" i="9"/>
  <c r="C6" i="9"/>
  <c r="D6" i="9"/>
  <c r="E6" i="9"/>
  <c r="C13" i="9"/>
  <c r="F6" i="9"/>
  <c r="D13" i="9"/>
  <c r="F13" i="8"/>
  <c r="G13" i="8"/>
  <c r="H13" i="8"/>
  <c r="I13" i="8"/>
  <c r="I6" i="8"/>
  <c r="D13" i="8"/>
  <c r="E13" i="8"/>
  <c r="H6" i="8"/>
  <c r="C6" i="8"/>
  <c r="D6" i="8"/>
  <c r="E6" i="8"/>
  <c r="F6" i="8"/>
  <c r="G6" i="8"/>
  <c r="J6" i="8"/>
  <c r="K6" i="8"/>
  <c r="J13" i="8"/>
  <c r="K13" i="8"/>
  <c r="E13" i="7"/>
  <c r="F13" i="7"/>
  <c r="G13" i="7"/>
  <c r="H13" i="7"/>
  <c r="I13" i="7"/>
  <c r="J13" i="7"/>
  <c r="K13" i="7"/>
  <c r="G6" i="7"/>
  <c r="H6" i="7"/>
  <c r="I6" i="7"/>
  <c r="J6" i="7"/>
  <c r="K6" i="7"/>
  <c r="E6" i="7"/>
  <c r="C13" i="7"/>
  <c r="F6" i="7"/>
  <c r="C6" i="7"/>
  <c r="D6" i="7"/>
  <c r="D13" i="7"/>
  <c r="J13" i="6"/>
  <c r="C13" i="6"/>
  <c r="K13" i="6"/>
  <c r="H13" i="6"/>
  <c r="J6" i="6"/>
  <c r="I6" i="6"/>
  <c r="F13" i="6"/>
  <c r="D13" i="6"/>
  <c r="G6" i="6"/>
  <c r="E13" i="6"/>
  <c r="H6" i="6"/>
  <c r="G13" i="6"/>
  <c r="I13" i="6"/>
  <c r="C6" i="6"/>
  <c r="D6" i="6"/>
  <c r="E6" i="6"/>
  <c r="F6" i="6"/>
  <c r="K6" i="6"/>
  <c r="J6" i="5"/>
  <c r="F6" i="5"/>
  <c r="K13" i="5"/>
  <c r="D13" i="5"/>
  <c r="E13" i="5"/>
  <c r="F13" i="5"/>
  <c r="G13" i="5"/>
  <c r="H13" i="5"/>
  <c r="I13" i="5"/>
  <c r="J13" i="5"/>
  <c r="G6" i="5"/>
  <c r="I6" i="5"/>
  <c r="H6" i="5"/>
  <c r="K6" i="5"/>
  <c r="C6" i="5"/>
  <c r="D6" i="5"/>
  <c r="E6" i="5"/>
  <c r="C13" i="5"/>
  <c r="E6" i="4"/>
  <c r="H6" i="4"/>
  <c r="J13" i="4"/>
  <c r="K13" i="4"/>
  <c r="F13" i="4"/>
  <c r="G13" i="4"/>
  <c r="H13" i="4"/>
  <c r="I13" i="4"/>
  <c r="C13" i="4"/>
  <c r="D13" i="4"/>
  <c r="E13" i="4"/>
  <c r="D6" i="4"/>
  <c r="G6" i="4"/>
  <c r="K6" i="4"/>
  <c r="F6" i="4"/>
  <c r="I6" i="4"/>
  <c r="J6" i="4"/>
  <c r="C6" i="4"/>
  <c r="I6" i="3"/>
  <c r="H13" i="2"/>
  <c r="D6" i="2"/>
  <c r="G6" i="2"/>
  <c r="H6" i="2"/>
  <c r="I6" i="2"/>
  <c r="C6" i="2"/>
  <c r="F13" i="2"/>
  <c r="I13" i="2"/>
  <c r="J13" i="2"/>
  <c r="K13" i="2"/>
  <c r="D13" i="2"/>
  <c r="J6" i="2"/>
  <c r="K6" i="2"/>
  <c r="C13" i="2"/>
  <c r="E13" i="2"/>
  <c r="G13" i="2"/>
  <c r="E13" i="1"/>
  <c r="K13" i="1"/>
  <c r="J13" i="1"/>
  <c r="H13" i="1"/>
  <c r="C13" i="1"/>
  <c r="I13" i="1"/>
  <c r="G13" i="1"/>
  <c r="H6" i="1"/>
  <c r="C6" i="1"/>
  <c r="K6" i="1"/>
  <c r="J6" i="1"/>
  <c r="I6" i="1"/>
  <c r="G6" i="1"/>
  <c r="F6" i="1"/>
  <c r="E6" i="1"/>
  <c r="D6" i="1"/>
</calcChain>
</file>

<file path=xl/sharedStrings.xml><?xml version="1.0" encoding="utf-8"?>
<sst xmlns="http://schemas.openxmlformats.org/spreadsheetml/2006/main" count="101" uniqueCount="6">
  <si>
    <t>F, Гц</t>
  </si>
  <si>
    <r>
      <t>U</t>
    </r>
    <r>
      <rPr>
        <sz val="8"/>
        <color theme="1"/>
        <rFont val="Aptos Narrow"/>
        <family val="2"/>
        <scheme val="minor"/>
      </rPr>
      <t>вх</t>
    </r>
  </si>
  <si>
    <r>
      <t>U</t>
    </r>
    <r>
      <rPr>
        <sz val="8"/>
        <color theme="1"/>
        <rFont val="Aptos Narrow"/>
        <family val="2"/>
        <scheme val="minor"/>
      </rPr>
      <t>вых</t>
    </r>
  </si>
  <si>
    <r>
      <t>K = U</t>
    </r>
    <r>
      <rPr>
        <sz val="8"/>
        <color theme="1"/>
        <rFont val="Aptos Narrow"/>
        <family val="2"/>
        <scheme val="minor"/>
      </rPr>
      <t>вых</t>
    </r>
    <r>
      <rPr>
        <sz val="11"/>
        <color theme="1"/>
        <rFont val="Aptos Narrow"/>
        <family val="2"/>
        <charset val="204"/>
        <scheme val="minor"/>
      </rPr>
      <t>/U</t>
    </r>
    <r>
      <rPr>
        <sz val="8"/>
        <color theme="1"/>
        <rFont val="Aptos Narrow"/>
        <family val="2"/>
        <scheme val="minor"/>
      </rPr>
      <t>вх</t>
    </r>
  </si>
  <si>
    <r>
      <t>K^ = K/K</t>
    </r>
    <r>
      <rPr>
        <sz val="8"/>
        <color theme="1"/>
        <rFont val="Aptos Narrow"/>
        <family val="2"/>
        <scheme val="minor"/>
      </rPr>
      <t>max</t>
    </r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</si>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</sst>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1"/>
          <c:order val="0"/>
          <c:tx>
            <c:v>C = 10нФ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'RC-выс'!$C$9:$K$9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1500</c:v>
                </c:pt>
                <c:pt idx="3">
                  <c:v>3000</c:v>
                </c:pt>
                <c:pt idx="4">
                  <c:v>5000</c:v>
                </c:pt>
                <c:pt idx="5">
                  <c:v>7500</c:v>
                </c:pt>
                <c:pt idx="6">
                  <c:v>15000</c:v>
                </c:pt>
                <c:pt idx="7">
                  <c:v>40000</c:v>
                </c:pt>
                <c:pt idx="8">
                  <c:v>100000</c:v>
                </c:pt>
              </c:numCache>
            </c:numRef>
          </c:xVal>
          <c:yVal>
            <c:numRef>
              <c:f>'RC-выс'!$C$13:$K$13</c:f>
              <c:numCache>
                <c:formatCode>General</c:formatCode>
                <c:ptCount val="9"/>
                <c:pt idx="0">
                  <c:v>6.379100850546781E-3</c:v>
                </c:pt>
                <c:pt idx="1">
                  <c:v>3.5540704738760635E-2</c:v>
                </c:pt>
                <c:pt idx="2">
                  <c:v>9.5281490481976511E-2</c:v>
                </c:pt>
                <c:pt idx="3">
                  <c:v>0.1881328473066019</c:v>
                </c:pt>
                <c:pt idx="4">
                  <c:v>0.30437424058323209</c:v>
                </c:pt>
                <c:pt idx="5">
                  <c:v>0.43296881328473069</c:v>
                </c:pt>
                <c:pt idx="6">
                  <c:v>0.69562575941676807</c:v>
                </c:pt>
                <c:pt idx="7">
                  <c:v>0.94127176994734718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50-4E8B-9004-46F9202AD58D}"/>
            </c:ext>
          </c:extLst>
        </c:ser>
        <c:ser>
          <c:idx val="0"/>
          <c:order val="1"/>
          <c:tx>
            <c:v>С = 20нФ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'RC-выс'!$C$2:$K$2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7500</c:v>
                </c:pt>
                <c:pt idx="6">
                  <c:v>15000</c:v>
                </c:pt>
                <c:pt idx="7">
                  <c:v>40000</c:v>
                </c:pt>
                <c:pt idx="8">
                  <c:v>100000</c:v>
                </c:pt>
              </c:numCache>
            </c:numRef>
          </c:xVal>
          <c:yVal>
            <c:numRef>
              <c:f>'RC-выс'!$C$6:$K$6</c:f>
              <c:numCache>
                <c:formatCode>General</c:formatCode>
                <c:ptCount val="9"/>
                <c:pt idx="0">
                  <c:v>1.2639181462533856E-2</c:v>
                </c:pt>
                <c:pt idx="1">
                  <c:v>0.12548901594944328</c:v>
                </c:pt>
                <c:pt idx="2">
                  <c:v>0.24526030695154982</c:v>
                </c:pt>
                <c:pt idx="3">
                  <c:v>0.35490019059083161</c:v>
                </c:pt>
                <c:pt idx="4">
                  <c:v>0.53485805998595648</c:v>
                </c:pt>
                <c:pt idx="5">
                  <c:v>0.68813321296017671</c:v>
                </c:pt>
                <c:pt idx="6">
                  <c:v>0.88674892165713726</c:v>
                </c:pt>
                <c:pt idx="7">
                  <c:v>0.98395024576186174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50-4E8B-9004-46F9202A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0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1"/>
          <c:order val="0"/>
          <c:tx>
            <c:v>C = 10мГн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'RL-выс'!$C$9:$K$9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1500</c:v>
                </c:pt>
                <c:pt idx="3">
                  <c:v>3000</c:v>
                </c:pt>
                <c:pt idx="4">
                  <c:v>5000</c:v>
                </c:pt>
                <c:pt idx="5">
                  <c:v>7500</c:v>
                </c:pt>
                <c:pt idx="6">
                  <c:v>15000</c:v>
                </c:pt>
                <c:pt idx="7">
                  <c:v>40000</c:v>
                </c:pt>
                <c:pt idx="8">
                  <c:v>100000</c:v>
                </c:pt>
              </c:numCache>
            </c:numRef>
          </c:xVal>
          <c:yVal>
            <c:numRef>
              <c:f>'RL-выс'!$C$13:$K$13</c:f>
              <c:numCache>
                <c:formatCode>General</c:formatCode>
                <c:ptCount val="9"/>
                <c:pt idx="0">
                  <c:v>6.379100850546781E-3</c:v>
                </c:pt>
                <c:pt idx="1">
                  <c:v>3.5540704738760635E-2</c:v>
                </c:pt>
                <c:pt idx="2">
                  <c:v>9.5281490481976511E-2</c:v>
                </c:pt>
                <c:pt idx="3">
                  <c:v>0.1881328473066019</c:v>
                </c:pt>
                <c:pt idx="4">
                  <c:v>0.30437424058323209</c:v>
                </c:pt>
                <c:pt idx="5">
                  <c:v>0.43296881328473069</c:v>
                </c:pt>
                <c:pt idx="6">
                  <c:v>0.69562575941676807</c:v>
                </c:pt>
                <c:pt idx="7">
                  <c:v>0.94127176994734718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4F-42BA-A695-98F4F00C5060}"/>
            </c:ext>
          </c:extLst>
        </c:ser>
        <c:ser>
          <c:idx val="0"/>
          <c:order val="1"/>
          <c:tx>
            <c:v>С = 20мГн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'RL-выс'!$C$2:$K$2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7500</c:v>
                </c:pt>
                <c:pt idx="6">
                  <c:v>15000</c:v>
                </c:pt>
                <c:pt idx="7">
                  <c:v>40000</c:v>
                </c:pt>
                <c:pt idx="8">
                  <c:v>100000</c:v>
                </c:pt>
              </c:numCache>
            </c:numRef>
          </c:xVal>
          <c:yVal>
            <c:numRef>
              <c:f>'RL-выс'!$C$6:$K$6</c:f>
              <c:numCache>
                <c:formatCode>General</c:formatCode>
                <c:ptCount val="9"/>
                <c:pt idx="0">
                  <c:v>1.2639181462533856E-2</c:v>
                </c:pt>
                <c:pt idx="1">
                  <c:v>0.12548901594944328</c:v>
                </c:pt>
                <c:pt idx="2">
                  <c:v>0.24526030695154982</c:v>
                </c:pt>
                <c:pt idx="3">
                  <c:v>0.35490019059083161</c:v>
                </c:pt>
                <c:pt idx="4">
                  <c:v>0.53485805998595648</c:v>
                </c:pt>
                <c:pt idx="5">
                  <c:v>0.68813321296017671</c:v>
                </c:pt>
                <c:pt idx="6">
                  <c:v>0.88674892165713726</c:v>
                </c:pt>
                <c:pt idx="7">
                  <c:v>0.98395024576186174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4F-42BA-A695-98F4F00C5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0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С = 10нФ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'RC-низ'!$C$2:$K$2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  <c:pt idx="6">
                  <c:v>200000</c:v>
                </c:pt>
                <c:pt idx="7">
                  <c:v>500000</c:v>
                </c:pt>
                <c:pt idx="8">
                  <c:v>800000</c:v>
                </c:pt>
              </c:numCache>
            </c:numRef>
          </c:xVal>
          <c:yVal>
            <c:numRef>
              <c:f>'RC-низ'!$C$6:$K$6</c:f>
              <c:numCache>
                <c:formatCode>General</c:formatCode>
                <c:ptCount val="9"/>
                <c:pt idx="0">
                  <c:v>1</c:v>
                </c:pt>
                <c:pt idx="1">
                  <c:v>0.95921843687374753</c:v>
                </c:pt>
                <c:pt idx="2">
                  <c:v>0.8476953907815632</c:v>
                </c:pt>
                <c:pt idx="3">
                  <c:v>0.62264529058116236</c:v>
                </c:pt>
                <c:pt idx="4">
                  <c:v>0.30300601202404809</c:v>
                </c:pt>
                <c:pt idx="5">
                  <c:v>0.15701402805611223</c:v>
                </c:pt>
                <c:pt idx="6">
                  <c:v>7.9158316633266529E-2</c:v>
                </c:pt>
                <c:pt idx="7">
                  <c:v>3.1563126252505007E-2</c:v>
                </c:pt>
                <c:pt idx="8">
                  <c:v>1.9939879759519039E-2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A1-41F9-A0F3-0BCF53975D96}"/>
            </c:ext>
          </c:extLst>
        </c:ser>
        <c:ser>
          <c:idx val="1"/>
          <c:order val="1"/>
          <c:tx>
            <c:v>C = 20нФ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'RC-низ'!$C$9:$K$9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  <c:pt idx="6">
                  <c:v>200000</c:v>
                </c:pt>
                <c:pt idx="7">
                  <c:v>500000</c:v>
                </c:pt>
                <c:pt idx="8">
                  <c:v>800000</c:v>
                </c:pt>
              </c:numCache>
            </c:numRef>
          </c:xVal>
          <c:yVal>
            <c:numRef>
              <c:f>'RC-низ'!$C$13:$K$13</c:f>
              <c:numCache>
                <c:formatCode>General</c:formatCode>
                <c:ptCount val="9"/>
                <c:pt idx="0">
                  <c:v>1</c:v>
                </c:pt>
                <c:pt idx="1">
                  <c:v>0.85273661929241018</c:v>
                </c:pt>
                <c:pt idx="2">
                  <c:v>0.62634815038806579</c:v>
                </c:pt>
                <c:pt idx="3">
                  <c:v>0.3716359237980042</c:v>
                </c:pt>
                <c:pt idx="4">
                  <c:v>0.15794778752141922</c:v>
                </c:pt>
                <c:pt idx="5">
                  <c:v>7.6605180929341793E-2</c:v>
                </c:pt>
                <c:pt idx="6">
                  <c:v>3.9915331115814939E-2</c:v>
                </c:pt>
                <c:pt idx="7">
                  <c:v>1.6026610220743878E-2</c:v>
                </c:pt>
                <c:pt idx="8">
                  <c:v>9.9788327789537348E-3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A1-41F9-A0F3-0BCF53975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8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С = 10мГн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'RL-низ'!$C$2:$K$2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  <c:pt idx="6">
                  <c:v>200000</c:v>
                </c:pt>
                <c:pt idx="7">
                  <c:v>500000</c:v>
                </c:pt>
                <c:pt idx="8">
                  <c:v>800000</c:v>
                </c:pt>
              </c:numCache>
            </c:numRef>
          </c:xVal>
          <c:yVal>
            <c:numRef>
              <c:f>'RL-низ'!$C$6:$K$6</c:f>
              <c:numCache>
                <c:formatCode>General</c:formatCode>
                <c:ptCount val="9"/>
                <c:pt idx="0">
                  <c:v>1</c:v>
                </c:pt>
                <c:pt idx="1">
                  <c:v>0.95921843687374753</c:v>
                </c:pt>
                <c:pt idx="2">
                  <c:v>0.8476953907815632</c:v>
                </c:pt>
                <c:pt idx="3">
                  <c:v>0.62264529058116236</c:v>
                </c:pt>
                <c:pt idx="4">
                  <c:v>0.30300601202404809</c:v>
                </c:pt>
                <c:pt idx="5">
                  <c:v>0.15701402805611223</c:v>
                </c:pt>
                <c:pt idx="6">
                  <c:v>7.9158316633266529E-2</c:v>
                </c:pt>
                <c:pt idx="7">
                  <c:v>3.1563126252505007E-2</c:v>
                </c:pt>
                <c:pt idx="8">
                  <c:v>1.9939879759519039E-2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1D-4749-9D63-F76357C3A829}"/>
            </c:ext>
          </c:extLst>
        </c:ser>
        <c:ser>
          <c:idx val="1"/>
          <c:order val="1"/>
          <c:tx>
            <c:v>C = 20мГн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'RL-низ'!$C$9:$K$9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  <c:pt idx="6">
                  <c:v>200000</c:v>
                </c:pt>
                <c:pt idx="7">
                  <c:v>500000</c:v>
                </c:pt>
                <c:pt idx="8">
                  <c:v>800000</c:v>
                </c:pt>
              </c:numCache>
            </c:numRef>
          </c:xVal>
          <c:yVal>
            <c:numRef>
              <c:f>'RL-низ'!$C$13:$K$13</c:f>
              <c:numCache>
                <c:formatCode>General</c:formatCode>
                <c:ptCount val="9"/>
                <c:pt idx="0">
                  <c:v>1</c:v>
                </c:pt>
                <c:pt idx="1">
                  <c:v>0.85273661929241018</c:v>
                </c:pt>
                <c:pt idx="2">
                  <c:v>0.62634815038806579</c:v>
                </c:pt>
                <c:pt idx="3">
                  <c:v>0.3716359237980042</c:v>
                </c:pt>
                <c:pt idx="4">
                  <c:v>0.15794778752141922</c:v>
                </c:pt>
                <c:pt idx="5">
                  <c:v>7.6605180929341793E-2</c:v>
                </c:pt>
                <c:pt idx="6">
                  <c:v>3.9915331115814939E-2</c:v>
                </c:pt>
                <c:pt idx="7">
                  <c:v>1.6026610220743878E-2</c:v>
                </c:pt>
                <c:pt idx="8">
                  <c:v>9.9788327789537348E-3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1D-4749-9D63-F76357C3A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8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1"/>
          <c:order val="0"/>
          <c:tx>
            <c:v>C = 10нФ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'TRC-выс'!$C$9:$K$9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3000</c:v>
                </c:pt>
                <c:pt idx="3">
                  <c:v>5000</c:v>
                </c:pt>
                <c:pt idx="4">
                  <c:v>7500</c:v>
                </c:pt>
                <c:pt idx="5">
                  <c:v>15000</c:v>
                </c:pt>
                <c:pt idx="6">
                  <c:v>25000</c:v>
                </c:pt>
                <c:pt idx="7">
                  <c:v>40000</c:v>
                </c:pt>
                <c:pt idx="8">
                  <c:v>100000</c:v>
                </c:pt>
              </c:numCache>
            </c:numRef>
          </c:xVal>
          <c:yVal>
            <c:numRef>
              <c:f>'TRC-выс'!$C$13:$K$13</c:f>
              <c:numCache>
                <c:formatCode>General</c:formatCode>
                <c:ptCount val="9"/>
                <c:pt idx="0">
                  <c:v>4.4250451535219747E-2</c:v>
                </c:pt>
                <c:pt idx="1">
                  <c:v>9.151113786875377E-2</c:v>
                </c:pt>
                <c:pt idx="2">
                  <c:v>0.26520168573148706</c:v>
                </c:pt>
                <c:pt idx="3">
                  <c:v>0.47170379289584591</c:v>
                </c:pt>
                <c:pt idx="4">
                  <c:v>0.64870559903672476</c:v>
                </c:pt>
                <c:pt idx="5">
                  <c:v>0.87296809151113786</c:v>
                </c:pt>
                <c:pt idx="6">
                  <c:v>0.95093317278747735</c:v>
                </c:pt>
                <c:pt idx="7">
                  <c:v>0.9819385912101144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FF-4820-9975-C910B81AFFB0}"/>
            </c:ext>
          </c:extLst>
        </c:ser>
        <c:ser>
          <c:idx val="0"/>
          <c:order val="1"/>
          <c:tx>
            <c:v>С = 20нФ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'TRC-выс'!$C$2:$K$2</c:f>
              <c:numCache>
                <c:formatCode>General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3000</c:v>
                </c:pt>
                <c:pt idx="3">
                  <c:v>5000</c:v>
                </c:pt>
                <c:pt idx="4">
                  <c:v>7500</c:v>
                </c:pt>
                <c:pt idx="5">
                  <c:v>15000</c:v>
                </c:pt>
                <c:pt idx="6">
                  <c:v>25000</c:v>
                </c:pt>
                <c:pt idx="7">
                  <c:v>40000</c:v>
                </c:pt>
                <c:pt idx="8">
                  <c:v>100000</c:v>
                </c:pt>
              </c:numCache>
            </c:numRef>
          </c:xVal>
          <c:yVal>
            <c:numRef>
              <c:f>'TRC-выс'!$C$6:$K$6</c:f>
              <c:numCache>
                <c:formatCode>General</c:formatCode>
                <c:ptCount val="9"/>
                <c:pt idx="0">
                  <c:v>1.1861313868613138E-2</c:v>
                </c:pt>
                <c:pt idx="1">
                  <c:v>2.615571776155718E-2</c:v>
                </c:pt>
                <c:pt idx="2">
                  <c:v>9.2457420924574221E-2</c:v>
                </c:pt>
                <c:pt idx="3">
                  <c:v>0.20833333333333337</c:v>
                </c:pt>
                <c:pt idx="4">
                  <c:v>0.35279805352798055</c:v>
                </c:pt>
                <c:pt idx="5">
                  <c:v>0.65541362530413616</c:v>
                </c:pt>
                <c:pt idx="6">
                  <c:v>0.8366788321167884</c:v>
                </c:pt>
                <c:pt idx="7">
                  <c:v>0.93400243309002451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FF-4820-9975-C910B81AF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0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1"/>
          <c:order val="0"/>
          <c:tx>
            <c:v>C = 20нФ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'TRC-низ'!$C$9:$K$9</c:f>
              <c:numCache>
                <c:formatCode>General</c:formatCode>
                <c:ptCount val="9"/>
                <c:pt idx="0">
                  <c:v>1500</c:v>
                </c:pt>
                <c:pt idx="1">
                  <c:v>3000</c:v>
                </c:pt>
                <c:pt idx="2">
                  <c:v>5000</c:v>
                </c:pt>
                <c:pt idx="3">
                  <c:v>7500</c:v>
                </c:pt>
                <c:pt idx="4">
                  <c:v>15000</c:v>
                </c:pt>
                <c:pt idx="5">
                  <c:v>25000</c:v>
                </c:pt>
                <c:pt idx="6">
                  <c:v>40000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xVal>
          <c:yVal>
            <c:numRef>
              <c:f>'TRC-низ'!$C$13:$K$13</c:f>
              <c:numCache>
                <c:formatCode>General</c:formatCode>
                <c:ptCount val="9"/>
                <c:pt idx="0">
                  <c:v>1</c:v>
                </c:pt>
                <c:pt idx="1">
                  <c:v>0.90458372310570623</c:v>
                </c:pt>
                <c:pt idx="2">
                  <c:v>0.75647022139070785</c:v>
                </c:pt>
                <c:pt idx="3">
                  <c:v>0.60024945431867793</c:v>
                </c:pt>
                <c:pt idx="4">
                  <c:v>0.34642968506392269</c:v>
                </c:pt>
                <c:pt idx="5">
                  <c:v>0.21577798565637668</c:v>
                </c:pt>
                <c:pt idx="6">
                  <c:v>0.13657623947614594</c:v>
                </c:pt>
                <c:pt idx="7">
                  <c:v>5.5191768007483634E-2</c:v>
                </c:pt>
                <c:pt idx="8">
                  <c:v>1.3719987527284065E-2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14-437F-98DB-D0314E7213D8}"/>
            </c:ext>
          </c:extLst>
        </c:ser>
        <c:ser>
          <c:idx val="0"/>
          <c:order val="1"/>
          <c:tx>
            <c:v>С = 40нФ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'TRC-низ'!$C$2:$K$2</c:f>
              <c:numCache>
                <c:formatCode>General</c:formatCode>
                <c:ptCount val="9"/>
                <c:pt idx="0">
                  <c:v>1500</c:v>
                </c:pt>
                <c:pt idx="1">
                  <c:v>3000</c:v>
                </c:pt>
                <c:pt idx="2">
                  <c:v>5000</c:v>
                </c:pt>
                <c:pt idx="3">
                  <c:v>7500</c:v>
                </c:pt>
                <c:pt idx="4">
                  <c:v>15000</c:v>
                </c:pt>
                <c:pt idx="5">
                  <c:v>25000</c:v>
                </c:pt>
                <c:pt idx="6">
                  <c:v>40000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xVal>
          <c:yVal>
            <c:numRef>
              <c:f>'TRC-низ'!$C$6:$K$6</c:f>
              <c:numCache>
                <c:formatCode>General</c:formatCode>
                <c:ptCount val="9"/>
                <c:pt idx="0">
                  <c:v>1</c:v>
                </c:pt>
                <c:pt idx="1">
                  <c:v>0.97181818181818191</c:v>
                </c:pt>
                <c:pt idx="2">
                  <c:v>0.91363636363636369</c:v>
                </c:pt>
                <c:pt idx="3">
                  <c:v>0.82454545454545469</c:v>
                </c:pt>
                <c:pt idx="4">
                  <c:v>0.58303030303030301</c:v>
                </c:pt>
                <c:pt idx="5">
                  <c:v>0.39454545454545464</c:v>
                </c:pt>
                <c:pt idx="6">
                  <c:v>0.25878787878787884</c:v>
                </c:pt>
                <c:pt idx="7">
                  <c:v>0.10666666666666666</c:v>
                </c:pt>
                <c:pt idx="8">
                  <c:v>2.6666666666666665E-2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14-437F-98DB-D0314E721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20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1"/>
          <c:order val="0"/>
          <c:tx>
            <c:v>C = 5нФ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'ПRC-выс'!$C$9:$K$9</c:f>
              <c:numCache>
                <c:formatCode>General</c:formatCode>
                <c:ptCount val="9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7500</c:v>
                </c:pt>
                <c:pt idx="4">
                  <c:v>15000</c:v>
                </c:pt>
                <c:pt idx="5">
                  <c:v>25000</c:v>
                </c:pt>
                <c:pt idx="6">
                  <c:v>40000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xVal>
          <c:yVal>
            <c:numRef>
              <c:f>'ПRC-выс'!$C$13:$K$13</c:f>
              <c:numCache>
                <c:formatCode>General</c:formatCode>
                <c:ptCount val="9"/>
                <c:pt idx="0">
                  <c:v>8.3734939759036162E-2</c:v>
                </c:pt>
                <c:pt idx="1">
                  <c:v>0.2445783132530121</c:v>
                </c:pt>
                <c:pt idx="2">
                  <c:v>0.3879518072289157</c:v>
                </c:pt>
                <c:pt idx="3">
                  <c:v>0.53403614457831328</c:v>
                </c:pt>
                <c:pt idx="4">
                  <c:v>0.78524096385542186</c:v>
                </c:pt>
                <c:pt idx="5">
                  <c:v>0.90572289156626529</c:v>
                </c:pt>
                <c:pt idx="6">
                  <c:v>0.96174698795180746</c:v>
                </c:pt>
                <c:pt idx="7">
                  <c:v>0.99638554216867481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F6-4215-9A0A-9B909D3C37D6}"/>
            </c:ext>
          </c:extLst>
        </c:ser>
        <c:ser>
          <c:idx val="0"/>
          <c:order val="1"/>
          <c:tx>
            <c:v>С = 10нФ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'ПRC-выс'!$C$2:$K$2</c:f>
              <c:numCache>
                <c:formatCode>General</c:formatCode>
                <c:ptCount val="9"/>
                <c:pt idx="0">
                  <c:v>1000</c:v>
                </c:pt>
                <c:pt idx="1">
                  <c:v>3000</c:v>
                </c:pt>
                <c:pt idx="2">
                  <c:v>5000</c:v>
                </c:pt>
                <c:pt idx="3">
                  <c:v>7500</c:v>
                </c:pt>
                <c:pt idx="4">
                  <c:v>15000</c:v>
                </c:pt>
                <c:pt idx="5">
                  <c:v>25000</c:v>
                </c:pt>
                <c:pt idx="6">
                  <c:v>40000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xVal>
          <c:yVal>
            <c:numRef>
              <c:f>'ПRC-выс'!$C$6:$K$6</c:f>
              <c:numCache>
                <c:formatCode>General</c:formatCode>
                <c:ptCount val="9"/>
                <c:pt idx="0">
                  <c:v>4.2296072507552872E-2</c:v>
                </c:pt>
                <c:pt idx="1">
                  <c:v>0.12567975830815709</c:v>
                </c:pt>
                <c:pt idx="2">
                  <c:v>0.20634441087613292</c:v>
                </c:pt>
                <c:pt idx="3">
                  <c:v>0.30181268882175227</c:v>
                </c:pt>
                <c:pt idx="4">
                  <c:v>0.53564954682779453</c:v>
                </c:pt>
                <c:pt idx="5">
                  <c:v>0.72839879154078546</c:v>
                </c:pt>
                <c:pt idx="6">
                  <c:v>0.8649546827794562</c:v>
                </c:pt>
                <c:pt idx="7">
                  <c:v>0.97975830815709963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F6-4215-9A0A-9B909D3C3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20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С = 10нФ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'ПRC-низ'!$C$2:$K$2</c:f>
              <c:numCache>
                <c:formatCode>General</c:formatCode>
                <c:ptCount val="9"/>
                <c:pt idx="0">
                  <c:v>1500</c:v>
                </c:pt>
                <c:pt idx="1">
                  <c:v>3000</c:v>
                </c:pt>
                <c:pt idx="2">
                  <c:v>5000</c:v>
                </c:pt>
                <c:pt idx="3">
                  <c:v>7500</c:v>
                </c:pt>
                <c:pt idx="4">
                  <c:v>15000</c:v>
                </c:pt>
                <c:pt idx="5">
                  <c:v>25000</c:v>
                </c:pt>
                <c:pt idx="6">
                  <c:v>40000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xVal>
          <c:yVal>
            <c:numRef>
              <c:f>'ПRC-низ'!$C$6:$K$6</c:f>
              <c:numCache>
                <c:formatCode>General</c:formatCode>
                <c:ptCount val="9"/>
                <c:pt idx="0">
                  <c:v>1</c:v>
                </c:pt>
                <c:pt idx="1">
                  <c:v>0.98552909255351229</c:v>
                </c:pt>
                <c:pt idx="2">
                  <c:v>0.95357250527585158</c:v>
                </c:pt>
                <c:pt idx="3">
                  <c:v>0.89810069339764853</c:v>
                </c:pt>
                <c:pt idx="4">
                  <c:v>0.69761832981609884</c:v>
                </c:pt>
                <c:pt idx="5">
                  <c:v>0.47814290021103412</c:v>
                </c:pt>
                <c:pt idx="6">
                  <c:v>0.28459451311425987</c:v>
                </c:pt>
                <c:pt idx="7">
                  <c:v>6.7530901416943026E-2</c:v>
                </c:pt>
                <c:pt idx="8">
                  <c:v>1.8390111546578231E-2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BE-4DB8-8E19-3083567F2BFA}"/>
            </c:ext>
          </c:extLst>
        </c:ser>
        <c:ser>
          <c:idx val="1"/>
          <c:order val="1"/>
          <c:tx>
            <c:v>C = 20нФ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'ПRC-низ'!$C$9:$K$9</c:f>
              <c:numCache>
                <c:formatCode>General</c:formatCode>
                <c:ptCount val="9"/>
                <c:pt idx="0">
                  <c:v>1500</c:v>
                </c:pt>
                <c:pt idx="1">
                  <c:v>3000</c:v>
                </c:pt>
                <c:pt idx="2">
                  <c:v>5000</c:v>
                </c:pt>
                <c:pt idx="3">
                  <c:v>7500</c:v>
                </c:pt>
                <c:pt idx="4">
                  <c:v>15000</c:v>
                </c:pt>
                <c:pt idx="5">
                  <c:v>25000</c:v>
                </c:pt>
                <c:pt idx="6">
                  <c:v>40000</c:v>
                </c:pt>
                <c:pt idx="7">
                  <c:v>100000</c:v>
                </c:pt>
                <c:pt idx="8">
                  <c:v>200000</c:v>
                </c:pt>
              </c:numCache>
            </c:numRef>
          </c:xVal>
          <c:yVal>
            <c:numRef>
              <c:f>'ПRC-низ'!$C$13:$K$13</c:f>
              <c:numCache>
                <c:formatCode>General</c:formatCode>
                <c:ptCount val="9"/>
                <c:pt idx="0">
                  <c:v>1</c:v>
                </c:pt>
                <c:pt idx="1">
                  <c:v>0.94706242350061209</c:v>
                </c:pt>
                <c:pt idx="2">
                  <c:v>0.84516523867809068</c:v>
                </c:pt>
                <c:pt idx="3">
                  <c:v>0.70807833537331699</c:v>
                </c:pt>
                <c:pt idx="4">
                  <c:v>0.40483476132190943</c:v>
                </c:pt>
                <c:pt idx="5">
                  <c:v>0.21358629130966955</c:v>
                </c:pt>
                <c:pt idx="6">
                  <c:v>0.10189718482252144</c:v>
                </c:pt>
                <c:pt idx="7">
                  <c:v>1.8665850673194616E-2</c:v>
                </c:pt>
                <c:pt idx="8">
                  <c:v>4.8959608323133419E-3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BE-4DB8-8E19-3083567F2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20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С = 10нФ, 10мГн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'RLC-заг'!$C$2:$K$2</c:f>
              <c:numCache>
                <c:formatCode>General</c:formatCode>
                <c:ptCount val="9"/>
                <c:pt idx="0">
                  <c:v>7000</c:v>
                </c:pt>
                <c:pt idx="1">
                  <c:v>13000</c:v>
                </c:pt>
                <c:pt idx="2">
                  <c:v>14000</c:v>
                </c:pt>
                <c:pt idx="3">
                  <c:v>15000</c:v>
                </c:pt>
                <c:pt idx="4">
                  <c:v>16000</c:v>
                </c:pt>
                <c:pt idx="5">
                  <c:v>17000</c:v>
                </c:pt>
                <c:pt idx="6">
                  <c:v>19000</c:v>
                </c:pt>
                <c:pt idx="7">
                  <c:v>25000</c:v>
                </c:pt>
                <c:pt idx="8">
                  <c:v>30000</c:v>
                </c:pt>
              </c:numCache>
            </c:numRef>
          </c:xVal>
          <c:yVal>
            <c:numRef>
              <c:f>'RLC-заг'!$C$6:$K$6</c:f>
              <c:numCache>
                <c:formatCode>General</c:formatCode>
                <c:ptCount val="9"/>
                <c:pt idx="0">
                  <c:v>1</c:v>
                </c:pt>
                <c:pt idx="1">
                  <c:v>0.65360696517412942</c:v>
                </c:pt>
                <c:pt idx="2">
                  <c:v>0.47201492537313439</c:v>
                </c:pt>
                <c:pt idx="3">
                  <c:v>0.2361111111111111</c:v>
                </c:pt>
                <c:pt idx="4">
                  <c:v>2.570480928689884E-2</c:v>
                </c:pt>
                <c:pt idx="5">
                  <c:v>0.26824212271973469</c:v>
                </c:pt>
                <c:pt idx="6">
                  <c:v>0.60427031509121054</c:v>
                </c:pt>
                <c:pt idx="7">
                  <c:v>0.91480099502487566</c:v>
                </c:pt>
                <c:pt idx="8">
                  <c:v>0.97305140961857373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43-4888-BB48-90F22BC8EB4C}"/>
            </c:ext>
          </c:extLst>
        </c:ser>
        <c:ser>
          <c:idx val="1"/>
          <c:order val="1"/>
          <c:tx>
            <c:v>C = 20нФ, 20мГн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'RLC-заг'!$C$9:$K$9</c:f>
              <c:numCache>
                <c:formatCode>General</c:formatCode>
                <c:ptCount val="9"/>
                <c:pt idx="0">
                  <c:v>4000</c:v>
                </c:pt>
                <c:pt idx="1">
                  <c:v>7000</c:v>
                </c:pt>
                <c:pt idx="2">
                  <c:v>7500</c:v>
                </c:pt>
                <c:pt idx="3">
                  <c:v>7750</c:v>
                </c:pt>
                <c:pt idx="4">
                  <c:v>8000</c:v>
                </c:pt>
                <c:pt idx="5">
                  <c:v>8250</c:v>
                </c:pt>
                <c:pt idx="6">
                  <c:v>8500</c:v>
                </c:pt>
                <c:pt idx="7">
                  <c:v>9000</c:v>
                </c:pt>
                <c:pt idx="8">
                  <c:v>12000</c:v>
                </c:pt>
              </c:numCache>
            </c:numRef>
          </c:xVal>
          <c:yVal>
            <c:numRef>
              <c:f>'RLC-заг'!$C$13:$K$13</c:f>
              <c:numCache>
                <c:formatCode>General</c:formatCode>
                <c:ptCount val="9"/>
                <c:pt idx="0">
                  <c:v>1</c:v>
                </c:pt>
                <c:pt idx="1">
                  <c:v>0.47921502426672297</c:v>
                </c:pt>
                <c:pt idx="2">
                  <c:v>0.23844692973201095</c:v>
                </c:pt>
                <c:pt idx="3">
                  <c:v>0.10550749103186327</c:v>
                </c:pt>
                <c:pt idx="4">
                  <c:v>2.743194766828445E-2</c:v>
                </c:pt>
                <c:pt idx="5">
                  <c:v>0.15699514665541253</c:v>
                </c:pt>
                <c:pt idx="6">
                  <c:v>0.27537455159316315</c:v>
                </c:pt>
                <c:pt idx="7">
                  <c:v>0.47246254484068367</c:v>
                </c:pt>
                <c:pt idx="8">
                  <c:v>0.90989660265878891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43-4888-BB48-90F22BC8E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30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С = 10 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'RLC-пол'!$C$2:$K$2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'RLC-пол'!$C$6:$K$6</c:f>
              <c:numCache>
                <c:formatCode>General</c:formatCode>
                <c:ptCount val="9"/>
                <c:pt idx="0">
                  <c:v>6.3649222065063654E-2</c:v>
                </c:pt>
                <c:pt idx="1">
                  <c:v>0.30309153364316022</c:v>
                </c:pt>
                <c:pt idx="2">
                  <c:v>0.53849262477268134</c:v>
                </c:pt>
                <c:pt idx="3">
                  <c:v>0.89310971913517878</c:v>
                </c:pt>
                <c:pt idx="4">
                  <c:v>0.96282077187310566</c:v>
                </c:pt>
                <c:pt idx="5">
                  <c:v>0.9880783996767023</c:v>
                </c:pt>
                <c:pt idx="6">
                  <c:v>0.99312992523742172</c:v>
                </c:pt>
                <c:pt idx="7">
                  <c:v>0.9977773287532834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18-4311-8780-71D410654B8B}"/>
            </c:ext>
          </c:extLst>
        </c:ser>
        <c:ser>
          <c:idx val="1"/>
          <c:order val="1"/>
          <c:tx>
            <c:v>С = 20 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'RLC-пол'!$C$9:$K$9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'RLC-пол'!$C$13:$K$13</c:f>
              <c:numCache>
                <c:formatCode>General</c:formatCode>
                <c:ptCount val="9"/>
                <c:pt idx="0">
                  <c:v>0.12547642928786357</c:v>
                </c:pt>
                <c:pt idx="1">
                  <c:v>0.53480441323971906</c:v>
                </c:pt>
                <c:pt idx="2">
                  <c:v>0.78575727181544619</c:v>
                </c:pt>
                <c:pt idx="3">
                  <c:v>0.96970912738214621</c:v>
                </c:pt>
                <c:pt idx="4">
                  <c:v>0.99057171514543607</c:v>
                </c:pt>
                <c:pt idx="5">
                  <c:v>0.99739217652958867</c:v>
                </c:pt>
                <c:pt idx="6">
                  <c:v>0.99869608826479428</c:v>
                </c:pt>
                <c:pt idx="7">
                  <c:v>0.99989969909729171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18-4311-8780-71D410654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С = 10 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'RLC-пол'!$C$2:$K$2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'RLC-пол'!$C$6:$K$6</c:f>
              <c:numCache>
                <c:formatCode>General</c:formatCode>
                <c:ptCount val="9"/>
                <c:pt idx="0">
                  <c:v>6.3649222065063654E-2</c:v>
                </c:pt>
                <c:pt idx="1">
                  <c:v>0.30309153364316022</c:v>
                </c:pt>
                <c:pt idx="2">
                  <c:v>0.53849262477268134</c:v>
                </c:pt>
                <c:pt idx="3">
                  <c:v>0.89310971913517878</c:v>
                </c:pt>
                <c:pt idx="4">
                  <c:v>0.96282077187310566</c:v>
                </c:pt>
                <c:pt idx="5">
                  <c:v>0.9880783996767023</c:v>
                </c:pt>
                <c:pt idx="6">
                  <c:v>0.99312992523742172</c:v>
                </c:pt>
                <c:pt idx="7">
                  <c:v>0.9977773287532834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18-4311-8780-71D410654B8B}"/>
            </c:ext>
          </c:extLst>
        </c:ser>
        <c:ser>
          <c:idx val="1"/>
          <c:order val="1"/>
          <c:tx>
            <c:v>С = 20 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'RLC-пол'!$C$9:$K$9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'RLC-пол'!$C$13:$K$13</c:f>
              <c:numCache>
                <c:formatCode>General</c:formatCode>
                <c:ptCount val="9"/>
                <c:pt idx="0">
                  <c:v>0.12547642928786357</c:v>
                </c:pt>
                <c:pt idx="1">
                  <c:v>0.53480441323971906</c:v>
                </c:pt>
                <c:pt idx="2">
                  <c:v>0.78575727181544619</c:v>
                </c:pt>
                <c:pt idx="3">
                  <c:v>0.96970912738214621</c:v>
                </c:pt>
                <c:pt idx="4">
                  <c:v>0.99057171514543607</c:v>
                </c:pt>
                <c:pt idx="5">
                  <c:v>0.99739217652958867</c:v>
                </c:pt>
                <c:pt idx="6">
                  <c:v>0.99869608826479428</c:v>
                </c:pt>
                <c:pt idx="7">
                  <c:v>0.99989969909729171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18-4311-8780-71D410654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106553</xdr:colOff>
      <xdr:row>3</xdr:row>
      <xdr:rowOff>74060</xdr:rowOff>
    </xdr:from>
    <xdr:to>
      <xdr:col>22</xdr:col>
      <xdr:colOff>208643</xdr:colOff>
      <xdr:row>22</xdr:row>
      <xdr:rowOff>167823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3C63291-09C0-0951-C9E1-93FC96392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541980</xdr:colOff>
      <xdr:row>1</xdr:row>
      <xdr:rowOff>108078</xdr:rowOff>
    </xdr:from>
    <xdr:to>
      <xdr:col>19</xdr:col>
      <xdr:colOff>644070</xdr:colOff>
      <xdr:row>21</xdr:row>
      <xdr:rowOff>18143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94EDC7F-A33D-4544-B209-5E5563240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541980</xdr:colOff>
      <xdr:row>1</xdr:row>
      <xdr:rowOff>108078</xdr:rowOff>
    </xdr:from>
    <xdr:to>
      <xdr:col>19</xdr:col>
      <xdr:colOff>644070</xdr:colOff>
      <xdr:row>21</xdr:row>
      <xdr:rowOff>18143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1B84342-F109-47C2-BE5C-01028AE6F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541980</xdr:colOff>
      <xdr:row>1</xdr:row>
      <xdr:rowOff>108078</xdr:rowOff>
    </xdr:from>
    <xdr:to>
      <xdr:col>19</xdr:col>
      <xdr:colOff>644070</xdr:colOff>
      <xdr:row>21</xdr:row>
      <xdr:rowOff>18143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640F312-156C-49B2-A6B5-F20427FD8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541980</xdr:colOff>
      <xdr:row>1</xdr:row>
      <xdr:rowOff>108078</xdr:rowOff>
    </xdr:from>
    <xdr:to>
      <xdr:col>19</xdr:col>
      <xdr:colOff>644070</xdr:colOff>
      <xdr:row>21</xdr:row>
      <xdr:rowOff>18143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6571F8-521D-4325-8691-6E7B65BA3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541980</xdr:colOff>
      <xdr:row>1</xdr:row>
      <xdr:rowOff>108078</xdr:rowOff>
    </xdr:from>
    <xdr:to>
      <xdr:col>19</xdr:col>
      <xdr:colOff>644070</xdr:colOff>
      <xdr:row>21</xdr:row>
      <xdr:rowOff>18143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E68A3EC-0A4F-41EC-93A4-1803F6F39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541980</xdr:colOff>
      <xdr:row>1</xdr:row>
      <xdr:rowOff>108078</xdr:rowOff>
    </xdr:from>
    <xdr:to>
      <xdr:col>19</xdr:col>
      <xdr:colOff>644070</xdr:colOff>
      <xdr:row>21</xdr:row>
      <xdr:rowOff>18143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244372A-A628-4A3F-A522-6C6275C11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541980</xdr:colOff>
      <xdr:row>1</xdr:row>
      <xdr:rowOff>108078</xdr:rowOff>
    </xdr:from>
    <xdr:to>
      <xdr:col>19</xdr:col>
      <xdr:colOff>644070</xdr:colOff>
      <xdr:row>21</xdr:row>
      <xdr:rowOff>18143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9D276B-B302-49D9-A7C9-5E206F738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541980</xdr:colOff>
      <xdr:row>1</xdr:row>
      <xdr:rowOff>108078</xdr:rowOff>
    </xdr:from>
    <xdr:to>
      <xdr:col>19</xdr:col>
      <xdr:colOff>644070</xdr:colOff>
      <xdr:row>21</xdr:row>
      <xdr:rowOff>18143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4CB9A82-CDBD-468C-A7AB-241709B36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386226</xdr:colOff>
      <xdr:row>17</xdr:row>
      <xdr:rowOff>132040</xdr:rowOff>
    </xdr:from>
    <xdr:to>
      <xdr:col>12</xdr:col>
      <xdr:colOff>456565</xdr:colOff>
      <xdr:row>37</xdr:row>
      <xdr:rowOff>42106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EC3E875-B8C8-41EF-90A3-48C7C9EF1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381187</xdr:colOff>
      <xdr:row>17</xdr:row>
      <xdr:rowOff>116921</xdr:rowOff>
    </xdr:from>
    <xdr:to>
      <xdr:col>12</xdr:col>
      <xdr:colOff>451526</xdr:colOff>
      <xdr:row>37</xdr:row>
      <xdr:rowOff>26987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B9297C2-5DBB-D013-1EB1-2FABC6044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E1A2-0D19-46C9-93F7-5A59F7FCBB20}">
  <dimension ref="B2:K13"/>
  <sheetViews>
    <sheetView topLeftCell="K1" zoomScale="70" workbookViewId="0">
      <selection activeCell="F44" sqref="F44"/>
    </sheetView>
  </sheetViews>
  <sheetFormatPr defaultRowHeight="14.5" x14ac:dyDescent="0.35"/>
  <cols>
    <col min="2" max="2" width="10.6328125" customWidth="1"/>
  </cols>
  <sheetData>
    <row r="2" spans="2:11" x14ac:dyDescent="0.35">
      <c r="B2" t="s">
        <v>0</v>
      </c>
      <c r="C2">
        <v>100</v>
      </c>
      <c r="D2">
        <v>1000</v>
      </c>
      <c r="E2">
        <v>2000</v>
      </c>
      <c r="F2">
        <v>3000</v>
      </c>
      <c r="G2">
        <v>5000</v>
      </c>
      <c r="H2">
        <v>7500</v>
      </c>
      <c r="I2">
        <v>15000</v>
      </c>
      <c r="J2">
        <v>40000</v>
      </c>
      <c r="K2">
        <v>100000</v>
      </c>
    </row>
    <row r="3" spans="2:11" x14ac:dyDescent="0.35">
      <c r="B3" t="s">
        <v>1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</row>
    <row r="4" spans="2:11" x14ac:dyDescent="0.35">
      <c r="B4" t="s">
        <v>2</v>
      </c>
      <c r="C4">
        <v>0.126</v>
      </c>
      <c r="D4">
        <v>1.2509999999999999</v>
      </c>
      <c r="E4">
        <v>2.4449999999999998</v>
      </c>
      <c r="F4">
        <v>3.5379999999999998</v>
      </c>
      <c r="G4">
        <v>5.3319999999999999</v>
      </c>
      <c r="H4">
        <v>6.86</v>
      </c>
      <c r="I4">
        <v>8.84</v>
      </c>
      <c r="J4">
        <v>9.8089999999999993</v>
      </c>
      <c r="K4">
        <v>9.9689999999999994</v>
      </c>
    </row>
    <row r="5" spans="2:11" x14ac:dyDescent="0.35">
      <c r="B5" t="s">
        <v>3</v>
      </c>
      <c r="C5">
        <f>C4/C3</f>
        <v>1.26E-2</v>
      </c>
      <c r="D5">
        <f t="shared" ref="D5:I5" si="0">D4/D3</f>
        <v>0.12509999999999999</v>
      </c>
      <c r="E5">
        <f t="shared" si="0"/>
        <v>0.2445</v>
      </c>
      <c r="F5">
        <f t="shared" si="0"/>
        <v>0.3538</v>
      </c>
      <c r="G5">
        <f t="shared" si="0"/>
        <v>0.53320000000000001</v>
      </c>
      <c r="H5">
        <f>H4/H3</f>
        <v>0.68600000000000005</v>
      </c>
      <c r="I5">
        <f t="shared" si="0"/>
        <v>0.88400000000000001</v>
      </c>
      <c r="J5">
        <f t="shared" ref="J5" si="1">J4/J3</f>
        <v>0.98089999999999988</v>
      </c>
      <c r="K5">
        <f t="shared" ref="K5" si="2">K4/K3</f>
        <v>0.9968999999999999</v>
      </c>
    </row>
    <row r="6" spans="2:11" x14ac:dyDescent="0.35">
      <c r="B6" t="s">
        <v>4</v>
      </c>
      <c r="C6">
        <f t="shared" ref="C6:K6" si="3">C5/MAX($C$5:$XX$5)</f>
        <v>1.2639181462533856E-2</v>
      </c>
      <c r="D6">
        <f t="shared" si="3"/>
        <v>0.12548901594944328</v>
      </c>
      <c r="E6">
        <f t="shared" si="3"/>
        <v>0.24526030695154982</v>
      </c>
      <c r="F6">
        <f t="shared" si="3"/>
        <v>0.35490019059083161</v>
      </c>
      <c r="G6">
        <f t="shared" si="3"/>
        <v>0.53485805998595648</v>
      </c>
      <c r="H6">
        <f t="shared" si="3"/>
        <v>0.68813321296017671</v>
      </c>
      <c r="I6">
        <f t="shared" si="3"/>
        <v>0.88674892165713726</v>
      </c>
      <c r="J6">
        <f t="shared" si="3"/>
        <v>0.98395024576186174</v>
      </c>
      <c r="K6">
        <f t="shared" si="3"/>
        <v>1</v>
      </c>
    </row>
    <row r="9" spans="2:11" x14ac:dyDescent="0.35">
      <c r="B9" t="s">
        <v>0</v>
      </c>
      <c r="C9">
        <v>100</v>
      </c>
      <c r="D9">
        <v>1000</v>
      </c>
      <c r="E9">
        <v>1500</v>
      </c>
      <c r="F9">
        <v>3000</v>
      </c>
      <c r="G9">
        <v>5000</v>
      </c>
      <c r="H9">
        <v>7500</v>
      </c>
      <c r="I9">
        <v>15000</v>
      </c>
      <c r="J9">
        <v>40000</v>
      </c>
      <c r="K9">
        <v>100000</v>
      </c>
    </row>
    <row r="10" spans="2:11" x14ac:dyDescent="0.35">
      <c r="B10" t="s">
        <v>1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</row>
    <row r="11" spans="2:11" x14ac:dyDescent="0.35">
      <c r="B11" t="s">
        <v>2</v>
      </c>
      <c r="C11">
        <v>6.3E-2</v>
      </c>
      <c r="D11">
        <v>0.35099999999999998</v>
      </c>
      <c r="E11">
        <v>0.94099999999999995</v>
      </c>
      <c r="F11">
        <v>1.8580000000000001</v>
      </c>
      <c r="G11">
        <v>3.0059999999999998</v>
      </c>
      <c r="H11">
        <v>4.2759999999999998</v>
      </c>
      <c r="I11">
        <v>6.87</v>
      </c>
      <c r="J11">
        <v>9.2959999999999994</v>
      </c>
      <c r="K11">
        <v>9.8759999999999994</v>
      </c>
    </row>
    <row r="12" spans="2:11" x14ac:dyDescent="0.35">
      <c r="B12" t="s">
        <v>3</v>
      </c>
      <c r="C12">
        <f>C11/C10</f>
        <v>6.3E-3</v>
      </c>
      <c r="D12">
        <f t="shared" ref="D12:G12" si="4">D11/D10</f>
        <v>3.5099999999999999E-2</v>
      </c>
      <c r="E12">
        <f t="shared" si="4"/>
        <v>9.4099999999999989E-2</v>
      </c>
      <c r="F12">
        <f t="shared" si="4"/>
        <v>0.18580000000000002</v>
      </c>
      <c r="G12">
        <f t="shared" si="4"/>
        <v>0.30059999999999998</v>
      </c>
      <c r="H12">
        <f>H11/H10</f>
        <v>0.42759999999999998</v>
      </c>
      <c r="I12">
        <f t="shared" ref="I12:K12" si="5">I11/I10</f>
        <v>0.68700000000000006</v>
      </c>
      <c r="J12">
        <f t="shared" si="5"/>
        <v>0.92959999999999998</v>
      </c>
      <c r="K12">
        <f t="shared" si="5"/>
        <v>0.98759999999999992</v>
      </c>
    </row>
    <row r="13" spans="2:11" x14ac:dyDescent="0.35">
      <c r="B13" t="s">
        <v>4</v>
      </c>
      <c r="C13">
        <f>C12/MAX($C$12:$XX$12)</f>
        <v>6.379100850546781E-3</v>
      </c>
      <c r="D13">
        <f t="shared" ref="D13:K13" si="6">D12/MAX($C$12:$XX$12)</f>
        <v>3.5540704738760635E-2</v>
      </c>
      <c r="E13">
        <f t="shared" si="6"/>
        <v>9.5281490481976511E-2</v>
      </c>
      <c r="F13">
        <f t="shared" si="6"/>
        <v>0.1881328473066019</v>
      </c>
      <c r="G13">
        <f t="shared" si="6"/>
        <v>0.30437424058323209</v>
      </c>
      <c r="H13">
        <f t="shared" si="6"/>
        <v>0.43296881328473069</v>
      </c>
      <c r="I13">
        <f t="shared" si="6"/>
        <v>0.69562575941676807</v>
      </c>
      <c r="J13">
        <f t="shared" si="6"/>
        <v>0.94127176994734718</v>
      </c>
      <c r="K13">
        <f t="shared" si="6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7202-B7F6-495D-B383-AF8E0D80CE03}">
  <dimension ref="B2:K13"/>
  <sheetViews>
    <sheetView zoomScale="66" workbookViewId="0">
      <selection activeCell="K13" sqref="B2:K13"/>
    </sheetView>
  </sheetViews>
  <sheetFormatPr defaultRowHeight="14.5" x14ac:dyDescent="0.35"/>
  <cols>
    <col min="2" max="2" width="10.6328125" customWidth="1"/>
  </cols>
  <sheetData>
    <row r="2" spans="2:11" x14ac:dyDescent="0.35">
      <c r="B2" t="s">
        <v>0</v>
      </c>
      <c r="C2">
        <v>100</v>
      </c>
      <c r="D2">
        <v>1000</v>
      </c>
      <c r="E2">
        <v>2000</v>
      </c>
      <c r="F2">
        <v>3000</v>
      </c>
      <c r="G2">
        <v>5000</v>
      </c>
      <c r="H2">
        <v>7500</v>
      </c>
      <c r="I2">
        <v>15000</v>
      </c>
      <c r="J2">
        <v>40000</v>
      </c>
      <c r="K2">
        <v>100000</v>
      </c>
    </row>
    <row r="3" spans="2:11" x14ac:dyDescent="0.35">
      <c r="B3" t="s">
        <v>1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</row>
    <row r="4" spans="2:11" x14ac:dyDescent="0.35">
      <c r="B4" t="s">
        <v>2</v>
      </c>
      <c r="C4">
        <v>0.126</v>
      </c>
      <c r="D4">
        <v>1.2509999999999999</v>
      </c>
      <c r="E4">
        <v>2.4449999999999998</v>
      </c>
      <c r="F4">
        <v>3.5379999999999998</v>
      </c>
      <c r="G4">
        <v>5.3319999999999999</v>
      </c>
      <c r="H4">
        <v>6.86</v>
      </c>
      <c r="I4">
        <v>8.84</v>
      </c>
      <c r="J4">
        <v>9.8089999999999993</v>
      </c>
      <c r="K4">
        <v>9.9689999999999994</v>
      </c>
    </row>
    <row r="5" spans="2:11" x14ac:dyDescent="0.35">
      <c r="B5" t="s">
        <v>3</v>
      </c>
      <c r="C5">
        <f>C4/C3</f>
        <v>1.26E-2</v>
      </c>
      <c r="D5">
        <f t="shared" ref="D5:K5" si="0">D4/D3</f>
        <v>0.12509999999999999</v>
      </c>
      <c r="E5">
        <f t="shared" si="0"/>
        <v>0.2445</v>
      </c>
      <c r="F5">
        <f t="shared" si="0"/>
        <v>0.3538</v>
      </c>
      <c r="G5">
        <f t="shared" si="0"/>
        <v>0.53320000000000001</v>
      </c>
      <c r="H5">
        <f>H4/H3</f>
        <v>0.68600000000000005</v>
      </c>
      <c r="I5">
        <f t="shared" si="0"/>
        <v>0.88400000000000001</v>
      </c>
      <c r="J5">
        <f t="shared" si="0"/>
        <v>0.98089999999999988</v>
      </c>
      <c r="K5">
        <f t="shared" si="0"/>
        <v>0.9968999999999999</v>
      </c>
    </row>
    <row r="6" spans="2:11" x14ac:dyDescent="0.35">
      <c r="B6" t="s">
        <v>4</v>
      </c>
      <c r="C6">
        <f t="shared" ref="C6:K6" si="1">C5/MAX($C$5:$XX$5)</f>
        <v>1.2639181462533856E-2</v>
      </c>
      <c r="D6">
        <f t="shared" si="1"/>
        <v>0.12548901594944328</v>
      </c>
      <c r="E6">
        <f t="shared" si="1"/>
        <v>0.24526030695154982</v>
      </c>
      <c r="F6">
        <f t="shared" si="1"/>
        <v>0.35490019059083161</v>
      </c>
      <c r="G6">
        <f t="shared" si="1"/>
        <v>0.53485805998595648</v>
      </c>
      <c r="H6">
        <f t="shared" si="1"/>
        <v>0.68813321296017671</v>
      </c>
      <c r="I6">
        <f t="shared" si="1"/>
        <v>0.88674892165713726</v>
      </c>
      <c r="J6">
        <f t="shared" si="1"/>
        <v>0.98395024576186174</v>
      </c>
      <c r="K6">
        <f t="shared" si="1"/>
        <v>1</v>
      </c>
    </row>
    <row r="9" spans="2:11" x14ac:dyDescent="0.35">
      <c r="B9" t="s">
        <v>0</v>
      </c>
      <c r="C9">
        <v>100</v>
      </c>
      <c r="D9">
        <v>1000</v>
      </c>
      <c r="E9">
        <v>1500</v>
      </c>
      <c r="F9">
        <v>3000</v>
      </c>
      <c r="G9">
        <v>5000</v>
      </c>
      <c r="H9">
        <v>7500</v>
      </c>
      <c r="I9">
        <v>15000</v>
      </c>
      <c r="J9">
        <v>40000</v>
      </c>
      <c r="K9">
        <v>100000</v>
      </c>
    </row>
    <row r="10" spans="2:11" x14ac:dyDescent="0.35">
      <c r="B10" t="s">
        <v>1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</row>
    <row r="11" spans="2:11" x14ac:dyDescent="0.35">
      <c r="B11" t="s">
        <v>2</v>
      </c>
      <c r="C11">
        <v>6.3E-2</v>
      </c>
      <c r="D11">
        <v>0.35099999999999998</v>
      </c>
      <c r="E11">
        <v>0.94099999999999995</v>
      </c>
      <c r="F11">
        <v>1.8580000000000001</v>
      </c>
      <c r="G11">
        <v>3.0059999999999998</v>
      </c>
      <c r="H11">
        <v>4.2759999999999998</v>
      </c>
      <c r="I11">
        <v>6.87</v>
      </c>
      <c r="J11">
        <v>9.2959999999999994</v>
      </c>
      <c r="K11">
        <v>9.8759999999999994</v>
      </c>
    </row>
    <row r="12" spans="2:11" x14ac:dyDescent="0.35">
      <c r="B12" t="s">
        <v>3</v>
      </c>
      <c r="C12">
        <f>C11/C10</f>
        <v>6.3E-3</v>
      </c>
      <c r="D12">
        <f t="shared" ref="D12:G12" si="2">D11/D10</f>
        <v>3.5099999999999999E-2</v>
      </c>
      <c r="E12">
        <f t="shared" si="2"/>
        <v>9.4099999999999989E-2</v>
      </c>
      <c r="F12">
        <f t="shared" si="2"/>
        <v>0.18580000000000002</v>
      </c>
      <c r="G12">
        <f t="shared" si="2"/>
        <v>0.30059999999999998</v>
      </c>
      <c r="H12">
        <f>H11/H10</f>
        <v>0.42759999999999998</v>
      </c>
      <c r="I12">
        <f t="shared" ref="I12:K12" si="3">I11/I10</f>
        <v>0.68700000000000006</v>
      </c>
      <c r="J12">
        <f t="shared" si="3"/>
        <v>0.92959999999999998</v>
      </c>
      <c r="K12">
        <f t="shared" si="3"/>
        <v>0.98759999999999992</v>
      </c>
    </row>
    <row r="13" spans="2:11" x14ac:dyDescent="0.35">
      <c r="B13" t="s">
        <v>4</v>
      </c>
      <c r="C13">
        <f>C12/MAX($C$12:$XX$12)</f>
        <v>6.379100850546781E-3</v>
      </c>
      <c r="D13">
        <f t="shared" ref="D13:K13" si="4">D12/MAX($C$12:$XX$12)</f>
        <v>3.5540704738760635E-2</v>
      </c>
      <c r="E13">
        <f t="shared" si="4"/>
        <v>9.5281490481976511E-2</v>
      </c>
      <c r="F13">
        <f t="shared" si="4"/>
        <v>0.1881328473066019</v>
      </c>
      <c r="G13">
        <f t="shared" si="4"/>
        <v>0.30437424058323209</v>
      </c>
      <c r="H13">
        <f t="shared" si="4"/>
        <v>0.43296881328473069</v>
      </c>
      <c r="I13">
        <f t="shared" si="4"/>
        <v>0.69562575941676807</v>
      </c>
      <c r="J13">
        <f t="shared" si="4"/>
        <v>0.94127176994734718</v>
      </c>
      <c r="K13">
        <f t="shared" si="4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F780-609C-4A52-B1FF-931D3179C7F4}">
  <dimension ref="B2:K13"/>
  <sheetViews>
    <sheetView zoomScale="57" workbookViewId="0">
      <selection activeCell="B2" sqref="B2:K13"/>
    </sheetView>
  </sheetViews>
  <sheetFormatPr defaultRowHeight="14.5" x14ac:dyDescent="0.35"/>
  <cols>
    <col min="2" max="2" width="10.6328125" customWidth="1"/>
  </cols>
  <sheetData>
    <row r="2" spans="2:11" x14ac:dyDescent="0.35">
      <c r="B2" t="s">
        <v>0</v>
      </c>
      <c r="C2">
        <v>1000</v>
      </c>
      <c r="D2">
        <v>5000</v>
      </c>
      <c r="E2">
        <v>10000</v>
      </c>
      <c r="F2">
        <v>20000</v>
      </c>
      <c r="G2">
        <v>50000</v>
      </c>
      <c r="H2">
        <v>100000</v>
      </c>
      <c r="I2">
        <v>200000</v>
      </c>
      <c r="J2">
        <v>500000</v>
      </c>
      <c r="K2">
        <v>800000</v>
      </c>
    </row>
    <row r="3" spans="2:11" x14ac:dyDescent="0.35">
      <c r="B3" t="s">
        <v>1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</row>
    <row r="4" spans="2:11" x14ac:dyDescent="0.35">
      <c r="B4" t="s">
        <v>2</v>
      </c>
      <c r="C4">
        <v>9.98</v>
      </c>
      <c r="D4">
        <v>9.5730000000000004</v>
      </c>
      <c r="E4">
        <v>8.4600000000000009</v>
      </c>
      <c r="F4">
        <v>6.2140000000000004</v>
      </c>
      <c r="G4">
        <v>3.024</v>
      </c>
      <c r="H4">
        <v>1.5669999999999999</v>
      </c>
      <c r="I4">
        <v>0.79</v>
      </c>
      <c r="J4">
        <v>0.315</v>
      </c>
      <c r="K4">
        <v>0.19900000000000001</v>
      </c>
    </row>
    <row r="5" spans="2:11" x14ac:dyDescent="0.35">
      <c r="B5" t="s">
        <v>3</v>
      </c>
      <c r="C5">
        <f>C4/C3</f>
        <v>0.998</v>
      </c>
      <c r="D5">
        <f t="shared" ref="D5:K5" si="0">D4/D3</f>
        <v>0.95730000000000004</v>
      </c>
      <c r="E5">
        <f t="shared" si="0"/>
        <v>0.84600000000000009</v>
      </c>
      <c r="F5">
        <f t="shared" si="0"/>
        <v>0.62140000000000006</v>
      </c>
      <c r="G5">
        <f t="shared" si="0"/>
        <v>0.3024</v>
      </c>
      <c r="H5">
        <f>H4/H3</f>
        <v>0.15670000000000001</v>
      </c>
      <c r="I5">
        <f t="shared" si="0"/>
        <v>7.9000000000000001E-2</v>
      </c>
      <c r="J5">
        <f t="shared" si="0"/>
        <v>3.15E-2</v>
      </c>
      <c r="K5">
        <f t="shared" si="0"/>
        <v>1.9900000000000001E-2</v>
      </c>
    </row>
    <row r="6" spans="2:11" x14ac:dyDescent="0.35">
      <c r="B6" t="s">
        <v>4</v>
      </c>
      <c r="C6">
        <f t="shared" ref="C6:K6" si="1">C5/MAX($C$5:$XX$5)</f>
        <v>1</v>
      </c>
      <c r="D6">
        <f t="shared" si="1"/>
        <v>0.95921843687374753</v>
      </c>
      <c r="E6">
        <f t="shared" si="1"/>
        <v>0.8476953907815632</v>
      </c>
      <c r="F6">
        <f t="shared" si="1"/>
        <v>0.62264529058116236</v>
      </c>
      <c r="G6">
        <f t="shared" si="1"/>
        <v>0.30300601202404809</v>
      </c>
      <c r="H6">
        <f t="shared" si="1"/>
        <v>0.15701402805611223</v>
      </c>
      <c r="I6">
        <f t="shared" si="1"/>
        <v>7.9158316633266529E-2</v>
      </c>
      <c r="J6">
        <f t="shared" si="1"/>
        <v>3.1563126252505007E-2</v>
      </c>
      <c r="K6">
        <f t="shared" si="1"/>
        <v>1.9939879759519039E-2</v>
      </c>
    </row>
    <row r="9" spans="2:11" x14ac:dyDescent="0.35">
      <c r="B9" t="s">
        <v>0</v>
      </c>
      <c r="C9">
        <v>1000</v>
      </c>
      <c r="D9">
        <v>5000</v>
      </c>
      <c r="E9">
        <v>10000</v>
      </c>
      <c r="F9">
        <v>20000</v>
      </c>
      <c r="G9">
        <v>50000</v>
      </c>
      <c r="H9">
        <v>100000</v>
      </c>
      <c r="I9">
        <v>200000</v>
      </c>
      <c r="J9">
        <v>500000</v>
      </c>
      <c r="K9">
        <v>800000</v>
      </c>
    </row>
    <row r="10" spans="2:11" x14ac:dyDescent="0.35">
      <c r="B10" t="s">
        <v>1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</row>
    <row r="11" spans="2:11" x14ac:dyDescent="0.35">
      <c r="B11" t="s">
        <v>2</v>
      </c>
      <c r="C11">
        <v>9.9209999999999994</v>
      </c>
      <c r="D11">
        <v>8.4600000000000009</v>
      </c>
      <c r="E11">
        <v>6.2140000000000004</v>
      </c>
      <c r="F11">
        <v>3.6869999999999998</v>
      </c>
      <c r="G11">
        <v>1.5669999999999999</v>
      </c>
      <c r="H11">
        <v>0.76</v>
      </c>
      <c r="I11">
        <v>0.39600000000000002</v>
      </c>
      <c r="J11">
        <v>0.159</v>
      </c>
      <c r="K11">
        <v>9.9000000000000005E-2</v>
      </c>
    </row>
    <row r="12" spans="2:11" x14ac:dyDescent="0.35">
      <c r="B12" t="s">
        <v>3</v>
      </c>
      <c r="C12">
        <f>C11/C10</f>
        <v>0.99209999999999998</v>
      </c>
      <c r="D12">
        <f t="shared" ref="D12:G12" si="2">D11/D10</f>
        <v>0.84600000000000009</v>
      </c>
      <c r="E12">
        <f t="shared" si="2"/>
        <v>0.62140000000000006</v>
      </c>
      <c r="F12">
        <f t="shared" si="2"/>
        <v>0.36869999999999997</v>
      </c>
      <c r="G12">
        <f t="shared" si="2"/>
        <v>0.15670000000000001</v>
      </c>
      <c r="H12">
        <f>H11/H10</f>
        <v>7.5999999999999998E-2</v>
      </c>
      <c r="I12">
        <f t="shared" ref="I12:K12" si="3">I11/I10</f>
        <v>3.9600000000000003E-2</v>
      </c>
      <c r="J12">
        <f t="shared" si="3"/>
        <v>1.5900000000000001E-2</v>
      </c>
      <c r="K12">
        <f t="shared" si="3"/>
        <v>9.9000000000000008E-3</v>
      </c>
    </row>
    <row r="13" spans="2:11" x14ac:dyDescent="0.35">
      <c r="B13" t="s">
        <v>4</v>
      </c>
      <c r="C13">
        <f>C12/MAX($C$12:$XX$12)</f>
        <v>1</v>
      </c>
      <c r="D13">
        <f t="shared" ref="D13:K13" si="4">D12/MAX($C$12:$XX$12)</f>
        <v>0.85273661929241018</v>
      </c>
      <c r="E13">
        <f t="shared" si="4"/>
        <v>0.62634815038806579</v>
      </c>
      <c r="F13">
        <f t="shared" si="4"/>
        <v>0.3716359237980042</v>
      </c>
      <c r="G13">
        <f t="shared" si="4"/>
        <v>0.15794778752141922</v>
      </c>
      <c r="H13">
        <f t="shared" si="4"/>
        <v>7.6605180929341793E-2</v>
      </c>
      <c r="I13">
        <f t="shared" si="4"/>
        <v>3.9915331115814939E-2</v>
      </c>
      <c r="J13">
        <f t="shared" si="4"/>
        <v>1.6026610220743878E-2</v>
      </c>
      <c r="K13">
        <f t="shared" si="4"/>
        <v>9.9788327789537348E-3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9C9C-264B-4A3D-BF65-CBEFACF4406B}">
  <dimension ref="B2:K22"/>
  <sheetViews>
    <sheetView topLeftCell="B1" zoomScale="78" workbookViewId="0">
      <selection activeCell="B2" sqref="B2:K13"/>
    </sheetView>
  </sheetViews>
  <sheetFormatPr defaultRowHeight="14.5" x14ac:dyDescent="0.35"/>
  <cols>
    <col min="2" max="2" width="10.6328125" customWidth="1"/>
  </cols>
  <sheetData>
    <row r="2" spans="2:11" x14ac:dyDescent="0.35">
      <c r="B2" t="s">
        <v>0</v>
      </c>
      <c r="C2">
        <v>1000</v>
      </c>
      <c r="D2">
        <v>5000</v>
      </c>
      <c r="E2">
        <v>10000</v>
      </c>
      <c r="F2">
        <v>20000</v>
      </c>
      <c r="G2">
        <v>50000</v>
      </c>
      <c r="H2">
        <v>100000</v>
      </c>
      <c r="I2">
        <v>200000</v>
      </c>
      <c r="J2">
        <v>500000</v>
      </c>
      <c r="K2">
        <v>800000</v>
      </c>
    </row>
    <row r="3" spans="2:11" x14ac:dyDescent="0.35">
      <c r="B3" t="s">
        <v>1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</row>
    <row r="4" spans="2:11" x14ac:dyDescent="0.35">
      <c r="B4" t="s">
        <v>2</v>
      </c>
      <c r="C4">
        <v>9.98</v>
      </c>
      <c r="D4">
        <v>9.5730000000000004</v>
      </c>
      <c r="E4">
        <v>8.4600000000000009</v>
      </c>
      <c r="F4">
        <v>6.2140000000000004</v>
      </c>
      <c r="G4">
        <v>3.024</v>
      </c>
      <c r="H4">
        <v>1.5669999999999999</v>
      </c>
      <c r="I4">
        <v>0.79</v>
      </c>
      <c r="J4">
        <v>0.315</v>
      </c>
      <c r="K4">
        <v>0.19900000000000001</v>
      </c>
    </row>
    <row r="5" spans="2:11" x14ac:dyDescent="0.35">
      <c r="B5" t="s">
        <v>3</v>
      </c>
      <c r="C5">
        <f>C4/C3</f>
        <v>0.998</v>
      </c>
      <c r="D5">
        <f t="shared" ref="D5:K5" si="0">D4/D3</f>
        <v>0.95730000000000004</v>
      </c>
      <c r="E5">
        <f t="shared" si="0"/>
        <v>0.84600000000000009</v>
      </c>
      <c r="F5">
        <f t="shared" si="0"/>
        <v>0.62140000000000006</v>
      </c>
      <c r="G5">
        <f t="shared" si="0"/>
        <v>0.3024</v>
      </c>
      <c r="H5">
        <f>H4/H3</f>
        <v>0.15670000000000001</v>
      </c>
      <c r="I5">
        <f t="shared" si="0"/>
        <v>7.9000000000000001E-2</v>
      </c>
      <c r="J5">
        <f t="shared" si="0"/>
        <v>3.15E-2</v>
      </c>
      <c r="K5">
        <f t="shared" si="0"/>
        <v>1.9900000000000001E-2</v>
      </c>
    </row>
    <row r="6" spans="2:11" x14ac:dyDescent="0.35">
      <c r="B6" t="s">
        <v>4</v>
      </c>
      <c r="C6">
        <f t="shared" ref="C6:K6" si="1">C5/MAX($C$5:$XX$5)</f>
        <v>1</v>
      </c>
      <c r="D6">
        <f t="shared" si="1"/>
        <v>0.95921843687374753</v>
      </c>
      <c r="E6">
        <f t="shared" si="1"/>
        <v>0.8476953907815632</v>
      </c>
      <c r="F6">
        <f t="shared" si="1"/>
        <v>0.62264529058116236</v>
      </c>
      <c r="G6">
        <f t="shared" si="1"/>
        <v>0.30300601202404809</v>
      </c>
      <c r="H6">
        <f t="shared" si="1"/>
        <v>0.15701402805611223</v>
      </c>
      <c r="I6">
        <f t="shared" si="1"/>
        <v>7.9158316633266529E-2</v>
      </c>
      <c r="J6">
        <f t="shared" si="1"/>
        <v>3.1563126252505007E-2</v>
      </c>
      <c r="K6">
        <f t="shared" si="1"/>
        <v>1.9939879759519039E-2</v>
      </c>
    </row>
    <row r="9" spans="2:11" x14ac:dyDescent="0.35">
      <c r="B9" t="s">
        <v>0</v>
      </c>
      <c r="C9">
        <v>1000</v>
      </c>
      <c r="D9">
        <v>5000</v>
      </c>
      <c r="E9">
        <v>10000</v>
      </c>
      <c r="F9">
        <v>20000</v>
      </c>
      <c r="G9">
        <v>50000</v>
      </c>
      <c r="H9">
        <v>100000</v>
      </c>
      <c r="I9">
        <v>200000</v>
      </c>
      <c r="J9">
        <v>500000</v>
      </c>
      <c r="K9">
        <v>800000</v>
      </c>
    </row>
    <row r="10" spans="2:11" x14ac:dyDescent="0.35">
      <c r="B10" t="s">
        <v>1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</row>
    <row r="11" spans="2:11" x14ac:dyDescent="0.35">
      <c r="B11" t="s">
        <v>2</v>
      </c>
      <c r="C11">
        <v>9.9209999999999994</v>
      </c>
      <c r="D11">
        <v>8.4600000000000009</v>
      </c>
      <c r="E11">
        <v>6.2140000000000004</v>
      </c>
      <c r="F11">
        <v>3.6869999999999998</v>
      </c>
      <c r="G11">
        <v>1.5669999999999999</v>
      </c>
      <c r="H11">
        <v>0.76</v>
      </c>
      <c r="I11">
        <v>0.39600000000000002</v>
      </c>
      <c r="J11">
        <v>0.159</v>
      </c>
      <c r="K11">
        <v>9.9000000000000005E-2</v>
      </c>
    </row>
    <row r="12" spans="2:11" x14ac:dyDescent="0.35">
      <c r="B12" t="s">
        <v>3</v>
      </c>
      <c r="C12">
        <f>C11/C10</f>
        <v>0.99209999999999998</v>
      </c>
      <c r="D12">
        <f t="shared" ref="D12:G12" si="2">D11/D10</f>
        <v>0.84600000000000009</v>
      </c>
      <c r="E12">
        <f t="shared" si="2"/>
        <v>0.62140000000000006</v>
      </c>
      <c r="F12">
        <f t="shared" si="2"/>
        <v>0.36869999999999997</v>
      </c>
      <c r="G12">
        <f t="shared" si="2"/>
        <v>0.15670000000000001</v>
      </c>
      <c r="H12">
        <f>H11/H10</f>
        <v>7.5999999999999998E-2</v>
      </c>
      <c r="I12">
        <f t="shared" ref="I12:K12" si="3">I11/I10</f>
        <v>3.9600000000000003E-2</v>
      </c>
      <c r="J12">
        <f t="shared" si="3"/>
        <v>1.5900000000000001E-2</v>
      </c>
      <c r="K12">
        <f t="shared" si="3"/>
        <v>9.9000000000000008E-3</v>
      </c>
    </row>
    <row r="13" spans="2:11" x14ac:dyDescent="0.35">
      <c r="B13" t="s">
        <v>4</v>
      </c>
      <c r="C13">
        <f>C12/MAX($C$12:$XX$12)</f>
        <v>1</v>
      </c>
      <c r="D13">
        <f t="shared" ref="D13:K13" si="4">D12/MAX($C$12:$XX$12)</f>
        <v>0.85273661929241018</v>
      </c>
      <c r="E13">
        <f t="shared" si="4"/>
        <v>0.62634815038806579</v>
      </c>
      <c r="F13">
        <f t="shared" si="4"/>
        <v>0.3716359237980042</v>
      </c>
      <c r="G13">
        <f t="shared" si="4"/>
        <v>0.15794778752141922</v>
      </c>
      <c r="H13">
        <f t="shared" si="4"/>
        <v>7.6605180929341793E-2</v>
      </c>
      <c r="I13">
        <f t="shared" si="4"/>
        <v>3.9915331115814939E-2</v>
      </c>
      <c r="J13">
        <f t="shared" si="4"/>
        <v>1.6026610220743878E-2</v>
      </c>
      <c r="K13">
        <f t="shared" si="4"/>
        <v>9.9788327789537348E-3</v>
      </c>
    </row>
    <row r="22" spans="8:8" x14ac:dyDescent="0.35">
      <c r="H22" t="s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EEDA-2771-4E36-95FB-2334F525173B}">
  <dimension ref="B2:K13"/>
  <sheetViews>
    <sheetView topLeftCell="F1" zoomScale="80" workbookViewId="0">
      <selection activeCell="K13" sqref="B2:K13"/>
    </sheetView>
  </sheetViews>
  <sheetFormatPr defaultRowHeight="14.5" x14ac:dyDescent="0.35"/>
  <cols>
    <col min="2" max="2" width="10.6328125" customWidth="1"/>
  </cols>
  <sheetData>
    <row r="2" spans="2:11" x14ac:dyDescent="0.35">
      <c r="B2" t="s">
        <v>0</v>
      </c>
      <c r="C2">
        <v>1000</v>
      </c>
      <c r="D2">
        <v>1500</v>
      </c>
      <c r="E2">
        <v>3000</v>
      </c>
      <c r="F2">
        <v>5000</v>
      </c>
      <c r="G2">
        <v>7500</v>
      </c>
      <c r="H2">
        <v>15000</v>
      </c>
      <c r="I2">
        <v>25000</v>
      </c>
      <c r="J2">
        <v>40000</v>
      </c>
      <c r="K2">
        <v>100000</v>
      </c>
    </row>
    <row r="3" spans="2:11" x14ac:dyDescent="0.35">
      <c r="B3" t="s">
        <v>1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</row>
    <row r="4" spans="2:11" x14ac:dyDescent="0.35">
      <c r="B4" t="s">
        <v>2</v>
      </c>
      <c r="C4">
        <v>3.9E-2</v>
      </c>
      <c r="D4">
        <v>8.5999999999999993E-2</v>
      </c>
      <c r="E4">
        <v>0.30399999999999999</v>
      </c>
      <c r="F4">
        <v>0.68500000000000005</v>
      </c>
      <c r="G4">
        <v>1.1599999999999999</v>
      </c>
      <c r="H4">
        <v>2.1549999999999998</v>
      </c>
      <c r="I4">
        <v>2.7509999999999999</v>
      </c>
      <c r="J4">
        <v>3.0710000000000002</v>
      </c>
      <c r="K4">
        <v>3.2879999999999998</v>
      </c>
    </row>
    <row r="5" spans="2:11" x14ac:dyDescent="0.35">
      <c r="B5" t="s">
        <v>3</v>
      </c>
      <c r="C5">
        <f t="shared" ref="C5:K5" si="0">C4/C3</f>
        <v>3.8999999999999998E-3</v>
      </c>
      <c r="D5">
        <f t="shared" si="0"/>
        <v>8.6E-3</v>
      </c>
      <c r="E5">
        <f t="shared" si="0"/>
        <v>3.04E-2</v>
      </c>
      <c r="F5">
        <f t="shared" si="0"/>
        <v>6.8500000000000005E-2</v>
      </c>
      <c r="G5">
        <f t="shared" si="0"/>
        <v>0.11599999999999999</v>
      </c>
      <c r="H5">
        <f t="shared" si="0"/>
        <v>0.21549999999999997</v>
      </c>
      <c r="I5">
        <f t="shared" si="0"/>
        <v>0.27510000000000001</v>
      </c>
      <c r="J5">
        <f t="shared" si="0"/>
        <v>0.30710000000000004</v>
      </c>
      <c r="K5">
        <f t="shared" si="0"/>
        <v>0.32879999999999998</v>
      </c>
    </row>
    <row r="6" spans="2:11" x14ac:dyDescent="0.35">
      <c r="B6" t="s">
        <v>4</v>
      </c>
      <c r="C6">
        <f t="shared" ref="C6:K6" si="1">C5/MAX($C$5:$XX$5)</f>
        <v>1.1861313868613138E-2</v>
      </c>
      <c r="D6">
        <f t="shared" si="1"/>
        <v>2.615571776155718E-2</v>
      </c>
      <c r="E6">
        <f t="shared" si="1"/>
        <v>9.2457420924574221E-2</v>
      </c>
      <c r="F6">
        <f t="shared" si="1"/>
        <v>0.20833333333333337</v>
      </c>
      <c r="G6">
        <f t="shared" si="1"/>
        <v>0.35279805352798055</v>
      </c>
      <c r="H6">
        <f t="shared" si="1"/>
        <v>0.65541362530413616</v>
      </c>
      <c r="I6">
        <f t="shared" si="1"/>
        <v>0.8366788321167884</v>
      </c>
      <c r="J6">
        <f t="shared" si="1"/>
        <v>0.93400243309002451</v>
      </c>
      <c r="K6">
        <f t="shared" si="1"/>
        <v>1</v>
      </c>
    </row>
    <row r="9" spans="2:11" x14ac:dyDescent="0.35">
      <c r="B9" t="s">
        <v>0</v>
      </c>
      <c r="C9">
        <v>1000</v>
      </c>
      <c r="D9">
        <v>1500</v>
      </c>
      <c r="E9">
        <v>3000</v>
      </c>
      <c r="F9">
        <v>5000</v>
      </c>
      <c r="G9">
        <v>7500</v>
      </c>
      <c r="H9">
        <v>15000</v>
      </c>
      <c r="I9">
        <v>25000</v>
      </c>
      <c r="J9">
        <v>40000</v>
      </c>
      <c r="K9">
        <v>100000</v>
      </c>
    </row>
    <row r="10" spans="2:11" x14ac:dyDescent="0.35">
      <c r="B10" t="s">
        <v>1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</row>
    <row r="11" spans="2:11" x14ac:dyDescent="0.35">
      <c r="B11" t="s">
        <v>2</v>
      </c>
      <c r="C11">
        <v>0.14699999999999999</v>
      </c>
      <c r="D11">
        <v>0.30399999999999999</v>
      </c>
      <c r="E11">
        <v>0.88100000000000001</v>
      </c>
      <c r="F11">
        <v>1.5669999999999999</v>
      </c>
      <c r="G11">
        <v>2.1549999999999998</v>
      </c>
      <c r="H11">
        <v>2.9</v>
      </c>
      <c r="I11">
        <v>3.1589999999999998</v>
      </c>
      <c r="J11">
        <v>3.262</v>
      </c>
      <c r="K11">
        <v>3.3220000000000001</v>
      </c>
    </row>
    <row r="12" spans="2:11" x14ac:dyDescent="0.35">
      <c r="B12" t="s">
        <v>3</v>
      </c>
      <c r="C12">
        <f>C11/C10</f>
        <v>1.47E-2</v>
      </c>
      <c r="D12">
        <f t="shared" ref="D12:G12" si="2">D11/D10</f>
        <v>3.04E-2</v>
      </c>
      <c r="E12">
        <f t="shared" si="2"/>
        <v>8.8099999999999998E-2</v>
      </c>
      <c r="F12">
        <f t="shared" si="2"/>
        <v>0.15670000000000001</v>
      </c>
      <c r="G12">
        <f t="shared" si="2"/>
        <v>0.21549999999999997</v>
      </c>
      <c r="H12">
        <f>H11/H10</f>
        <v>0.28999999999999998</v>
      </c>
      <c r="I12">
        <f t="shared" ref="I12:K12" si="3">I11/I10</f>
        <v>0.31589999999999996</v>
      </c>
      <c r="J12">
        <f t="shared" si="3"/>
        <v>0.32619999999999999</v>
      </c>
      <c r="K12">
        <f t="shared" si="3"/>
        <v>0.3322</v>
      </c>
    </row>
    <row r="13" spans="2:11" x14ac:dyDescent="0.35">
      <c r="B13" t="s">
        <v>4</v>
      </c>
      <c r="C13">
        <f>C12/MAX($C$12:$XX$12)</f>
        <v>4.4250451535219747E-2</v>
      </c>
      <c r="D13">
        <f t="shared" ref="D13:K13" si="4">D12/MAX($C$12:$XX$12)</f>
        <v>9.151113786875377E-2</v>
      </c>
      <c r="E13">
        <f t="shared" si="4"/>
        <v>0.26520168573148706</v>
      </c>
      <c r="F13">
        <f t="shared" si="4"/>
        <v>0.47170379289584591</v>
      </c>
      <c r="G13">
        <f t="shared" si="4"/>
        <v>0.64870559903672476</v>
      </c>
      <c r="H13">
        <f t="shared" si="4"/>
        <v>0.87296809151113786</v>
      </c>
      <c r="I13">
        <f t="shared" si="4"/>
        <v>0.95093317278747735</v>
      </c>
      <c r="J13">
        <f t="shared" si="4"/>
        <v>0.9819385912101144</v>
      </c>
      <c r="K13">
        <f t="shared" si="4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BABA-F351-42F4-8C84-9493D9616351}">
  <dimension ref="B2:K13"/>
  <sheetViews>
    <sheetView zoomScale="49" workbookViewId="0">
      <selection activeCell="B2" sqref="B2:K13"/>
    </sheetView>
  </sheetViews>
  <sheetFormatPr defaultRowHeight="14.5" x14ac:dyDescent="0.35"/>
  <cols>
    <col min="2" max="2" width="10.6328125" customWidth="1"/>
  </cols>
  <sheetData>
    <row r="2" spans="2:11" x14ac:dyDescent="0.35">
      <c r="B2" t="s">
        <v>0</v>
      </c>
      <c r="C2">
        <v>1500</v>
      </c>
      <c r="D2">
        <v>3000</v>
      </c>
      <c r="E2">
        <v>5000</v>
      </c>
      <c r="F2">
        <v>7500</v>
      </c>
      <c r="G2">
        <v>15000</v>
      </c>
      <c r="H2">
        <v>25000</v>
      </c>
      <c r="I2">
        <v>40000</v>
      </c>
      <c r="J2">
        <v>100000</v>
      </c>
      <c r="K2">
        <v>200000</v>
      </c>
    </row>
    <row r="3" spans="2:11" x14ac:dyDescent="0.35">
      <c r="B3" t="s">
        <v>1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</row>
    <row r="4" spans="2:11" x14ac:dyDescent="0.35">
      <c r="B4" t="s">
        <v>2</v>
      </c>
      <c r="C4">
        <v>3.3</v>
      </c>
      <c r="D4">
        <v>3.2069999999999999</v>
      </c>
      <c r="E4">
        <v>3.0150000000000001</v>
      </c>
      <c r="F4">
        <v>2.7210000000000001</v>
      </c>
      <c r="G4">
        <v>1.9239999999999999</v>
      </c>
      <c r="H4">
        <v>1.302</v>
      </c>
      <c r="I4">
        <v>0.85399999999999998</v>
      </c>
      <c r="J4">
        <v>0.35199999999999998</v>
      </c>
      <c r="K4">
        <v>8.7999999999999995E-2</v>
      </c>
    </row>
    <row r="5" spans="2:11" x14ac:dyDescent="0.35">
      <c r="B5" t="s">
        <v>3</v>
      </c>
      <c r="C5">
        <f t="shared" ref="C5:K5" si="0">C4/C3</f>
        <v>0.32999999999999996</v>
      </c>
      <c r="D5">
        <f t="shared" si="0"/>
        <v>0.32069999999999999</v>
      </c>
      <c r="E5">
        <f t="shared" si="0"/>
        <v>0.30149999999999999</v>
      </c>
      <c r="F5">
        <f t="shared" si="0"/>
        <v>0.27210000000000001</v>
      </c>
      <c r="G5">
        <f t="shared" si="0"/>
        <v>0.19239999999999999</v>
      </c>
      <c r="H5">
        <f t="shared" si="0"/>
        <v>0.13020000000000001</v>
      </c>
      <c r="I5">
        <f t="shared" si="0"/>
        <v>8.5400000000000004E-2</v>
      </c>
      <c r="J5">
        <f t="shared" si="0"/>
        <v>3.5199999999999995E-2</v>
      </c>
      <c r="K5">
        <f t="shared" si="0"/>
        <v>8.7999999999999988E-3</v>
      </c>
    </row>
    <row r="6" spans="2:11" x14ac:dyDescent="0.35">
      <c r="B6" t="s">
        <v>4</v>
      </c>
      <c r="C6">
        <f t="shared" ref="C6:K6" si="1">C5/MAX($C$5:$XX$5)</f>
        <v>1</v>
      </c>
      <c r="D6">
        <f t="shared" si="1"/>
        <v>0.97181818181818191</v>
      </c>
      <c r="E6">
        <f t="shared" si="1"/>
        <v>0.91363636363636369</v>
      </c>
      <c r="F6">
        <f t="shared" si="1"/>
        <v>0.82454545454545469</v>
      </c>
      <c r="G6">
        <f t="shared" si="1"/>
        <v>0.58303030303030301</v>
      </c>
      <c r="H6">
        <f t="shared" si="1"/>
        <v>0.39454545454545464</v>
      </c>
      <c r="I6">
        <f t="shared" si="1"/>
        <v>0.25878787878787884</v>
      </c>
      <c r="J6">
        <f t="shared" si="1"/>
        <v>0.10666666666666666</v>
      </c>
      <c r="K6">
        <f t="shared" si="1"/>
        <v>2.6666666666666665E-2</v>
      </c>
    </row>
    <row r="9" spans="2:11" x14ac:dyDescent="0.35">
      <c r="B9" t="s">
        <v>0</v>
      </c>
      <c r="C9">
        <v>1500</v>
      </c>
      <c r="D9">
        <v>3000</v>
      </c>
      <c r="E9">
        <v>5000</v>
      </c>
      <c r="F9">
        <v>7500</v>
      </c>
      <c r="G9">
        <v>15000</v>
      </c>
      <c r="H9">
        <v>25000</v>
      </c>
      <c r="I9">
        <v>40000</v>
      </c>
      <c r="J9">
        <v>100000</v>
      </c>
      <c r="K9">
        <v>200000</v>
      </c>
    </row>
    <row r="10" spans="2:11" x14ac:dyDescent="0.35">
      <c r="B10" t="s">
        <v>1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</row>
    <row r="11" spans="2:11" x14ac:dyDescent="0.35">
      <c r="B11" t="s">
        <v>2</v>
      </c>
      <c r="C11">
        <v>3.2069999999999999</v>
      </c>
      <c r="D11">
        <v>2.9009999999999998</v>
      </c>
      <c r="E11">
        <v>2.4260000000000002</v>
      </c>
      <c r="F11">
        <v>1.925</v>
      </c>
      <c r="G11">
        <v>1.111</v>
      </c>
      <c r="H11">
        <v>0.69199999999999995</v>
      </c>
      <c r="I11">
        <v>0.438</v>
      </c>
      <c r="J11">
        <v>0.17699999999999999</v>
      </c>
      <c r="K11">
        <v>4.3999999999999997E-2</v>
      </c>
    </row>
    <row r="12" spans="2:11" x14ac:dyDescent="0.35">
      <c r="B12" t="s">
        <v>3</v>
      </c>
      <c r="C12">
        <f>C11/C10</f>
        <v>0.32069999999999999</v>
      </c>
      <c r="D12">
        <f t="shared" ref="D12:G12" si="2">D11/D10</f>
        <v>0.29009999999999997</v>
      </c>
      <c r="E12">
        <f t="shared" si="2"/>
        <v>0.24260000000000001</v>
      </c>
      <c r="F12">
        <f t="shared" si="2"/>
        <v>0.1925</v>
      </c>
      <c r="G12">
        <f t="shared" si="2"/>
        <v>0.1111</v>
      </c>
      <c r="H12">
        <f>H11/H10</f>
        <v>6.9199999999999998E-2</v>
      </c>
      <c r="I12">
        <f t="shared" ref="I12:K12" si="3">I11/I10</f>
        <v>4.3799999999999999E-2</v>
      </c>
      <c r="J12">
        <f t="shared" si="3"/>
        <v>1.77E-2</v>
      </c>
      <c r="K12">
        <f t="shared" si="3"/>
        <v>4.3999999999999994E-3</v>
      </c>
    </row>
    <row r="13" spans="2:11" x14ac:dyDescent="0.35">
      <c r="B13" t="s">
        <v>4</v>
      </c>
      <c r="C13">
        <f>C12/MAX($C$12:$XX$12)</f>
        <v>1</v>
      </c>
      <c r="D13">
        <f t="shared" ref="D13:K13" si="4">D12/MAX($C$12:$XX$12)</f>
        <v>0.90458372310570623</v>
      </c>
      <c r="E13">
        <f t="shared" si="4"/>
        <v>0.75647022139070785</v>
      </c>
      <c r="F13">
        <f t="shared" si="4"/>
        <v>0.60024945431867793</v>
      </c>
      <c r="G13">
        <f t="shared" si="4"/>
        <v>0.34642968506392269</v>
      </c>
      <c r="H13">
        <f t="shared" si="4"/>
        <v>0.21577798565637668</v>
      </c>
      <c r="I13">
        <f t="shared" si="4"/>
        <v>0.13657623947614594</v>
      </c>
      <c r="J13">
        <f t="shared" si="4"/>
        <v>5.5191768007483634E-2</v>
      </c>
      <c r="K13">
        <f t="shared" si="4"/>
        <v>1.3719987527284065E-2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8B78-2DE1-419A-B5F7-E670103E9E61}">
  <dimension ref="B2:K13"/>
  <sheetViews>
    <sheetView topLeftCell="D1" zoomScale="80" workbookViewId="0">
      <selection activeCell="B2" sqref="B2:K13"/>
    </sheetView>
  </sheetViews>
  <sheetFormatPr defaultRowHeight="14.5" x14ac:dyDescent="0.35"/>
  <cols>
    <col min="2" max="2" width="10.6328125" customWidth="1"/>
  </cols>
  <sheetData>
    <row r="2" spans="2:11" x14ac:dyDescent="0.35">
      <c r="B2" t="s">
        <v>0</v>
      </c>
      <c r="C2">
        <v>1000</v>
      </c>
      <c r="D2">
        <v>3000</v>
      </c>
      <c r="E2">
        <v>5000</v>
      </c>
      <c r="F2">
        <v>7500</v>
      </c>
      <c r="G2">
        <v>15000</v>
      </c>
      <c r="H2">
        <v>25000</v>
      </c>
      <c r="I2">
        <v>40000</v>
      </c>
      <c r="J2">
        <v>100000</v>
      </c>
      <c r="K2">
        <v>200000</v>
      </c>
    </row>
    <row r="3" spans="2:11" x14ac:dyDescent="0.35">
      <c r="B3" t="s">
        <v>1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</row>
    <row r="4" spans="2:11" x14ac:dyDescent="0.35">
      <c r="B4" t="s">
        <v>2</v>
      </c>
      <c r="C4">
        <v>0.14000000000000001</v>
      </c>
      <c r="D4">
        <v>0.41599999999999998</v>
      </c>
      <c r="E4">
        <v>0.68300000000000005</v>
      </c>
      <c r="F4">
        <v>0.999</v>
      </c>
      <c r="G4">
        <v>1.7729999999999999</v>
      </c>
      <c r="H4">
        <v>2.411</v>
      </c>
      <c r="I4">
        <v>2.863</v>
      </c>
      <c r="J4">
        <v>3.2429999999999999</v>
      </c>
      <c r="K4">
        <v>3.31</v>
      </c>
    </row>
    <row r="5" spans="2:11" x14ac:dyDescent="0.35">
      <c r="B5" t="s">
        <v>3</v>
      </c>
      <c r="C5">
        <f t="shared" ref="C5:K5" si="0">C4/C3</f>
        <v>1.4000000000000002E-2</v>
      </c>
      <c r="D5">
        <f t="shared" si="0"/>
        <v>4.1599999999999998E-2</v>
      </c>
      <c r="E5">
        <f t="shared" si="0"/>
        <v>6.83E-2</v>
      </c>
      <c r="F5">
        <f t="shared" si="0"/>
        <v>9.9900000000000003E-2</v>
      </c>
      <c r="G5">
        <f t="shared" si="0"/>
        <v>0.17729999999999999</v>
      </c>
      <c r="H5">
        <f t="shared" si="0"/>
        <v>0.24110000000000001</v>
      </c>
      <c r="I5">
        <f t="shared" si="0"/>
        <v>0.2863</v>
      </c>
      <c r="J5">
        <f t="shared" si="0"/>
        <v>0.32429999999999998</v>
      </c>
      <c r="K5">
        <f t="shared" si="0"/>
        <v>0.33100000000000002</v>
      </c>
    </row>
    <row r="6" spans="2:11" x14ac:dyDescent="0.35">
      <c r="B6" t="s">
        <v>4</v>
      </c>
      <c r="C6">
        <f t="shared" ref="C6:K6" si="1">C5/MAX($C$5:$XX$5)</f>
        <v>4.2296072507552872E-2</v>
      </c>
      <c r="D6">
        <f t="shared" si="1"/>
        <v>0.12567975830815709</v>
      </c>
      <c r="E6">
        <f t="shared" si="1"/>
        <v>0.20634441087613292</v>
      </c>
      <c r="F6">
        <f t="shared" si="1"/>
        <v>0.30181268882175227</v>
      </c>
      <c r="G6">
        <f t="shared" si="1"/>
        <v>0.53564954682779453</v>
      </c>
      <c r="H6">
        <f t="shared" si="1"/>
        <v>0.72839879154078546</v>
      </c>
      <c r="I6">
        <f t="shared" si="1"/>
        <v>0.8649546827794562</v>
      </c>
      <c r="J6">
        <f t="shared" si="1"/>
        <v>0.97975830815709963</v>
      </c>
      <c r="K6">
        <f t="shared" si="1"/>
        <v>1</v>
      </c>
    </row>
    <row r="9" spans="2:11" x14ac:dyDescent="0.35">
      <c r="B9" t="s">
        <v>0</v>
      </c>
      <c r="C9">
        <v>1000</v>
      </c>
      <c r="D9">
        <v>3000</v>
      </c>
      <c r="E9">
        <v>5000</v>
      </c>
      <c r="F9">
        <v>7500</v>
      </c>
      <c r="G9">
        <v>15000</v>
      </c>
      <c r="H9">
        <v>25000</v>
      </c>
      <c r="I9">
        <v>40000</v>
      </c>
      <c r="J9">
        <v>100000</v>
      </c>
      <c r="K9">
        <v>200000</v>
      </c>
    </row>
    <row r="10" spans="2:11" x14ac:dyDescent="0.35">
      <c r="B10" t="s">
        <v>1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</row>
    <row r="11" spans="2:11" x14ac:dyDescent="0.35">
      <c r="B11" t="s">
        <v>2</v>
      </c>
      <c r="C11">
        <v>0.27800000000000002</v>
      </c>
      <c r="D11">
        <v>0.81200000000000006</v>
      </c>
      <c r="E11">
        <v>1.288</v>
      </c>
      <c r="F11">
        <v>1.7729999999999999</v>
      </c>
      <c r="G11">
        <v>2.6070000000000002</v>
      </c>
      <c r="H11">
        <v>3.0070000000000001</v>
      </c>
      <c r="I11">
        <v>3.1930000000000001</v>
      </c>
      <c r="J11">
        <v>3.3079999999999998</v>
      </c>
      <c r="K11">
        <v>3.32</v>
      </c>
    </row>
    <row r="12" spans="2:11" x14ac:dyDescent="0.35">
      <c r="B12" t="s">
        <v>3</v>
      </c>
      <c r="C12">
        <f>C11/C10</f>
        <v>2.7800000000000002E-2</v>
      </c>
      <c r="D12">
        <f t="shared" ref="D12:G12" si="2">D11/D10</f>
        <v>8.1200000000000008E-2</v>
      </c>
      <c r="E12">
        <f t="shared" si="2"/>
        <v>0.1288</v>
      </c>
      <c r="F12">
        <f t="shared" si="2"/>
        <v>0.17729999999999999</v>
      </c>
      <c r="G12">
        <f t="shared" si="2"/>
        <v>0.26070000000000004</v>
      </c>
      <c r="H12">
        <f>H11/H10</f>
        <v>0.30070000000000002</v>
      </c>
      <c r="I12">
        <f t="shared" ref="I12:K12" si="3">I11/I10</f>
        <v>0.31930000000000003</v>
      </c>
      <c r="J12">
        <f t="shared" si="3"/>
        <v>0.33079999999999998</v>
      </c>
      <c r="K12">
        <f t="shared" si="3"/>
        <v>0.33199999999999996</v>
      </c>
    </row>
    <row r="13" spans="2:11" x14ac:dyDescent="0.35">
      <c r="B13" t="s">
        <v>4</v>
      </c>
      <c r="C13">
        <f>C12/MAX($C$12:$XX$12)</f>
        <v>8.3734939759036162E-2</v>
      </c>
      <c r="D13">
        <f t="shared" ref="D13:K13" si="4">D12/MAX($C$12:$XX$12)</f>
        <v>0.2445783132530121</v>
      </c>
      <c r="E13">
        <f t="shared" si="4"/>
        <v>0.3879518072289157</v>
      </c>
      <c r="F13">
        <f t="shared" si="4"/>
        <v>0.53403614457831328</v>
      </c>
      <c r="G13">
        <f t="shared" si="4"/>
        <v>0.78524096385542186</v>
      </c>
      <c r="H13">
        <f t="shared" si="4"/>
        <v>0.90572289156626529</v>
      </c>
      <c r="I13">
        <f t="shared" si="4"/>
        <v>0.96174698795180746</v>
      </c>
      <c r="J13">
        <f t="shared" si="4"/>
        <v>0.99638554216867481</v>
      </c>
      <c r="K13">
        <f t="shared" si="4"/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16DC-A4E3-4B56-BFC5-B0E633A11308}">
  <dimension ref="B2:K13"/>
  <sheetViews>
    <sheetView zoomScale="71" workbookViewId="0">
      <selection activeCell="K13" sqref="B2:K13"/>
    </sheetView>
  </sheetViews>
  <sheetFormatPr defaultRowHeight="14.5" x14ac:dyDescent="0.35"/>
  <cols>
    <col min="2" max="2" width="10.6328125" customWidth="1"/>
  </cols>
  <sheetData>
    <row r="2" spans="2:11" x14ac:dyDescent="0.35">
      <c r="B2" t="s">
        <v>0</v>
      </c>
      <c r="C2">
        <v>1500</v>
      </c>
      <c r="D2">
        <v>3000</v>
      </c>
      <c r="E2">
        <v>5000</v>
      </c>
      <c r="F2">
        <v>7500</v>
      </c>
      <c r="G2">
        <v>15000</v>
      </c>
      <c r="H2">
        <v>25000</v>
      </c>
      <c r="I2">
        <v>40000</v>
      </c>
      <c r="J2">
        <v>100000</v>
      </c>
      <c r="K2">
        <v>200000</v>
      </c>
    </row>
    <row r="3" spans="2:11" x14ac:dyDescent="0.35">
      <c r="B3" t="s">
        <v>1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</row>
    <row r="4" spans="2:11" x14ac:dyDescent="0.35">
      <c r="B4" t="s">
        <v>2</v>
      </c>
      <c r="C4">
        <v>3.3170000000000002</v>
      </c>
      <c r="D4">
        <v>3.2690000000000001</v>
      </c>
      <c r="E4">
        <v>3.1629999999999998</v>
      </c>
      <c r="F4">
        <v>2.9790000000000001</v>
      </c>
      <c r="G4">
        <v>2.3140000000000001</v>
      </c>
      <c r="H4">
        <v>1.5860000000000001</v>
      </c>
      <c r="I4">
        <v>0.94399999999999995</v>
      </c>
      <c r="J4">
        <v>0.224</v>
      </c>
      <c r="K4">
        <v>6.0999999999999999E-2</v>
      </c>
    </row>
    <row r="5" spans="2:11" x14ac:dyDescent="0.35">
      <c r="B5" t="s">
        <v>3</v>
      </c>
      <c r="C5">
        <f t="shared" ref="C5:K5" si="0">C4/C3</f>
        <v>0.33169999999999999</v>
      </c>
      <c r="D5">
        <f t="shared" si="0"/>
        <v>0.32690000000000002</v>
      </c>
      <c r="E5">
        <f t="shared" si="0"/>
        <v>0.31629999999999997</v>
      </c>
      <c r="F5">
        <f t="shared" si="0"/>
        <v>0.2979</v>
      </c>
      <c r="G5">
        <f t="shared" si="0"/>
        <v>0.23139999999999999</v>
      </c>
      <c r="H5">
        <f t="shared" si="0"/>
        <v>0.15860000000000002</v>
      </c>
      <c r="I5">
        <f t="shared" si="0"/>
        <v>9.4399999999999998E-2</v>
      </c>
      <c r="J5">
        <f t="shared" si="0"/>
        <v>2.24E-2</v>
      </c>
      <c r="K5">
        <f t="shared" si="0"/>
        <v>6.0999999999999995E-3</v>
      </c>
    </row>
    <row r="6" spans="2:11" x14ac:dyDescent="0.35">
      <c r="B6" t="s">
        <v>4</v>
      </c>
      <c r="C6">
        <f t="shared" ref="C6:K6" si="1">C5/MAX($C$5:$XX$5)</f>
        <v>1</v>
      </c>
      <c r="D6">
        <f t="shared" si="1"/>
        <v>0.98552909255351229</v>
      </c>
      <c r="E6">
        <f t="shared" si="1"/>
        <v>0.95357250527585158</v>
      </c>
      <c r="F6">
        <f t="shared" si="1"/>
        <v>0.89810069339764853</v>
      </c>
      <c r="G6">
        <f t="shared" si="1"/>
        <v>0.69761832981609884</v>
      </c>
      <c r="H6">
        <f t="shared" si="1"/>
        <v>0.47814290021103412</v>
      </c>
      <c r="I6">
        <f t="shared" si="1"/>
        <v>0.28459451311425987</v>
      </c>
      <c r="J6">
        <f t="shared" si="1"/>
        <v>6.7530901416943026E-2</v>
      </c>
      <c r="K6">
        <f t="shared" si="1"/>
        <v>1.8390111546578231E-2</v>
      </c>
    </row>
    <row r="9" spans="2:11" x14ac:dyDescent="0.35">
      <c r="B9" t="s">
        <v>0</v>
      </c>
      <c r="C9">
        <v>1500</v>
      </c>
      <c r="D9">
        <v>3000</v>
      </c>
      <c r="E9">
        <v>5000</v>
      </c>
      <c r="F9">
        <v>7500</v>
      </c>
      <c r="G9">
        <v>15000</v>
      </c>
      <c r="H9">
        <v>25000</v>
      </c>
      <c r="I9">
        <v>40000</v>
      </c>
      <c r="J9">
        <v>100000</v>
      </c>
      <c r="K9">
        <v>200000</v>
      </c>
    </row>
    <row r="10" spans="2:11" x14ac:dyDescent="0.35">
      <c r="B10" t="s">
        <v>1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</row>
    <row r="11" spans="2:11" x14ac:dyDescent="0.35">
      <c r="B11" t="s">
        <v>2</v>
      </c>
      <c r="C11">
        <v>3.2679999999999998</v>
      </c>
      <c r="D11">
        <v>3.0950000000000002</v>
      </c>
      <c r="E11">
        <v>2.762</v>
      </c>
      <c r="F11">
        <v>2.3140000000000001</v>
      </c>
      <c r="G11">
        <v>1.323</v>
      </c>
      <c r="H11">
        <v>0.69799999999999995</v>
      </c>
      <c r="I11">
        <v>0.33300000000000002</v>
      </c>
      <c r="J11">
        <v>6.0999999999999999E-2</v>
      </c>
      <c r="K11">
        <v>1.6E-2</v>
      </c>
    </row>
    <row r="12" spans="2:11" x14ac:dyDescent="0.35">
      <c r="B12" t="s">
        <v>3</v>
      </c>
      <c r="C12">
        <f>C11/C10</f>
        <v>0.32679999999999998</v>
      </c>
      <c r="D12">
        <f t="shared" ref="D12:G12" si="2">D11/D10</f>
        <v>0.3095</v>
      </c>
      <c r="E12">
        <f t="shared" si="2"/>
        <v>0.2762</v>
      </c>
      <c r="F12">
        <f t="shared" si="2"/>
        <v>0.23139999999999999</v>
      </c>
      <c r="G12">
        <f t="shared" si="2"/>
        <v>0.1323</v>
      </c>
      <c r="H12">
        <f>H11/H10</f>
        <v>6.9800000000000001E-2</v>
      </c>
      <c r="I12">
        <f t="shared" ref="I12:K12" si="3">I11/I10</f>
        <v>3.3300000000000003E-2</v>
      </c>
      <c r="J12">
        <f t="shared" si="3"/>
        <v>6.0999999999999995E-3</v>
      </c>
      <c r="K12">
        <f t="shared" si="3"/>
        <v>1.6000000000000001E-3</v>
      </c>
    </row>
    <row r="13" spans="2:11" x14ac:dyDescent="0.35">
      <c r="B13" t="s">
        <v>4</v>
      </c>
      <c r="C13">
        <f>C12/MAX($C$12:$XX$12)</f>
        <v>1</v>
      </c>
      <c r="D13">
        <f t="shared" ref="D13:K13" si="4">D12/MAX($C$12:$XX$12)</f>
        <v>0.94706242350061209</v>
      </c>
      <c r="E13">
        <f t="shared" si="4"/>
        <v>0.84516523867809068</v>
      </c>
      <c r="F13">
        <f t="shared" si="4"/>
        <v>0.70807833537331699</v>
      </c>
      <c r="G13">
        <f t="shared" si="4"/>
        <v>0.40483476132190943</v>
      </c>
      <c r="H13">
        <f t="shared" si="4"/>
        <v>0.21358629130966955</v>
      </c>
      <c r="I13">
        <f t="shared" si="4"/>
        <v>0.10189718482252144</v>
      </c>
      <c r="J13">
        <f t="shared" si="4"/>
        <v>1.8665850673194616E-2</v>
      </c>
      <c r="K13">
        <f t="shared" si="4"/>
        <v>4.8959608323133419E-3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9B28-3415-4080-8E36-EF16380D5151}">
  <dimension ref="B2:K13"/>
  <sheetViews>
    <sheetView topLeftCell="B1" zoomScale="71" workbookViewId="0">
      <selection activeCell="K13" sqref="B2:K13"/>
    </sheetView>
  </sheetViews>
  <sheetFormatPr defaultRowHeight="14.5" x14ac:dyDescent="0.35"/>
  <cols>
    <col min="2" max="2" width="10.6328125" customWidth="1"/>
  </cols>
  <sheetData>
    <row r="2" spans="2:11" x14ac:dyDescent="0.35">
      <c r="B2" t="s">
        <v>0</v>
      </c>
      <c r="C2">
        <v>7000</v>
      </c>
      <c r="D2">
        <v>13000</v>
      </c>
      <c r="E2">
        <v>14000</v>
      </c>
      <c r="F2">
        <v>15000</v>
      </c>
      <c r="G2">
        <v>16000</v>
      </c>
      <c r="H2">
        <v>17000</v>
      </c>
      <c r="I2">
        <v>19000</v>
      </c>
      <c r="J2">
        <v>25000</v>
      </c>
      <c r="K2">
        <v>30000</v>
      </c>
    </row>
    <row r="3" spans="2:11" x14ac:dyDescent="0.35">
      <c r="B3" t="s">
        <v>1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</row>
    <row r="4" spans="2:11" x14ac:dyDescent="0.35">
      <c r="B4" t="s">
        <v>2</v>
      </c>
      <c r="C4">
        <v>4.8239999999999998</v>
      </c>
      <c r="D4">
        <v>3.153</v>
      </c>
      <c r="E4">
        <v>2.2770000000000001</v>
      </c>
      <c r="F4">
        <v>1.139</v>
      </c>
      <c r="G4">
        <v>0.124</v>
      </c>
      <c r="H4">
        <v>1.294</v>
      </c>
      <c r="I4">
        <v>2.915</v>
      </c>
      <c r="J4">
        <v>4.4130000000000003</v>
      </c>
      <c r="K4">
        <v>4.694</v>
      </c>
    </row>
    <row r="5" spans="2:11" x14ac:dyDescent="0.35">
      <c r="B5" t="s">
        <v>3</v>
      </c>
      <c r="C5">
        <f t="shared" ref="C5:K5" si="0">C4/C3</f>
        <v>0.4824</v>
      </c>
      <c r="D5">
        <f t="shared" si="0"/>
        <v>0.31530000000000002</v>
      </c>
      <c r="E5">
        <f t="shared" si="0"/>
        <v>0.22770000000000001</v>
      </c>
      <c r="F5">
        <f t="shared" si="0"/>
        <v>0.1139</v>
      </c>
      <c r="G5">
        <f t="shared" si="0"/>
        <v>1.24E-2</v>
      </c>
      <c r="H5">
        <f t="shared" si="0"/>
        <v>0.12940000000000002</v>
      </c>
      <c r="I5">
        <f t="shared" si="0"/>
        <v>0.29149999999999998</v>
      </c>
      <c r="J5">
        <f t="shared" si="0"/>
        <v>0.44130000000000003</v>
      </c>
      <c r="K5">
        <f t="shared" si="0"/>
        <v>0.46939999999999998</v>
      </c>
    </row>
    <row r="6" spans="2:11" x14ac:dyDescent="0.35">
      <c r="B6" t="s">
        <v>4</v>
      </c>
      <c r="C6">
        <f t="shared" ref="C6:K6" si="1">C5/MAX($C$5:$XX$5)</f>
        <v>1</v>
      </c>
      <c r="D6">
        <f t="shared" si="1"/>
        <v>0.65360696517412942</v>
      </c>
      <c r="E6">
        <f t="shared" si="1"/>
        <v>0.47201492537313439</v>
      </c>
      <c r="F6">
        <f t="shared" si="1"/>
        <v>0.2361111111111111</v>
      </c>
      <c r="G6">
        <f t="shared" si="1"/>
        <v>2.570480928689884E-2</v>
      </c>
      <c r="H6">
        <f t="shared" si="1"/>
        <v>0.26824212271973469</v>
      </c>
      <c r="I6">
        <f t="shared" si="1"/>
        <v>0.60427031509121054</v>
      </c>
      <c r="J6">
        <f t="shared" si="1"/>
        <v>0.91480099502487566</v>
      </c>
      <c r="K6">
        <f t="shared" si="1"/>
        <v>0.97305140961857373</v>
      </c>
    </row>
    <row r="9" spans="2:11" x14ac:dyDescent="0.35">
      <c r="B9" t="s">
        <v>0</v>
      </c>
      <c r="C9">
        <v>4000</v>
      </c>
      <c r="D9">
        <v>7000</v>
      </c>
      <c r="E9">
        <v>7500</v>
      </c>
      <c r="F9">
        <v>7750</v>
      </c>
      <c r="G9">
        <v>8000</v>
      </c>
      <c r="H9">
        <v>8250</v>
      </c>
      <c r="I9">
        <v>8500</v>
      </c>
      <c r="J9">
        <v>9000</v>
      </c>
      <c r="K9">
        <v>12000</v>
      </c>
    </row>
    <row r="10" spans="2:11" x14ac:dyDescent="0.35">
      <c r="B10" t="s">
        <v>1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</row>
    <row r="11" spans="2:11" x14ac:dyDescent="0.35">
      <c r="B11" t="s">
        <v>2</v>
      </c>
      <c r="C11">
        <v>4.7389999999999999</v>
      </c>
      <c r="D11">
        <v>2.2709999999999999</v>
      </c>
      <c r="E11">
        <v>1.1299999999999999</v>
      </c>
      <c r="F11">
        <v>0.5</v>
      </c>
      <c r="G11">
        <v>0.13</v>
      </c>
      <c r="H11">
        <v>0.74399999999999999</v>
      </c>
      <c r="I11">
        <v>1.3049999999999999</v>
      </c>
      <c r="J11">
        <v>2.2389999999999999</v>
      </c>
      <c r="K11">
        <v>4.3120000000000003</v>
      </c>
    </row>
    <row r="12" spans="2:11" x14ac:dyDescent="0.35">
      <c r="B12" t="s">
        <v>3</v>
      </c>
      <c r="C12">
        <f>C11/C10</f>
        <v>0.47389999999999999</v>
      </c>
      <c r="D12">
        <f t="shared" ref="D12:G12" si="2">D11/D10</f>
        <v>0.2271</v>
      </c>
      <c r="E12">
        <f t="shared" si="2"/>
        <v>0.11299999999999999</v>
      </c>
      <c r="F12">
        <f t="shared" si="2"/>
        <v>0.05</v>
      </c>
      <c r="G12">
        <f t="shared" si="2"/>
        <v>1.3000000000000001E-2</v>
      </c>
      <c r="H12">
        <f>H11/H10</f>
        <v>7.4399999999999994E-2</v>
      </c>
      <c r="I12">
        <f t="shared" ref="I12:K12" si="3">I11/I10</f>
        <v>0.1305</v>
      </c>
      <c r="J12">
        <f t="shared" si="3"/>
        <v>0.22389999999999999</v>
      </c>
      <c r="K12">
        <f t="shared" si="3"/>
        <v>0.43120000000000003</v>
      </c>
    </row>
    <row r="13" spans="2:11" x14ac:dyDescent="0.35">
      <c r="B13" t="s">
        <v>4</v>
      </c>
      <c r="C13">
        <f>C12/MAX($C$12:$XX$12)</f>
        <v>1</v>
      </c>
      <c r="D13">
        <f t="shared" ref="D13:K13" si="4">D12/MAX($C$12:$XX$12)</f>
        <v>0.47921502426672297</v>
      </c>
      <c r="E13">
        <f t="shared" si="4"/>
        <v>0.23844692973201095</v>
      </c>
      <c r="F13">
        <f t="shared" si="4"/>
        <v>0.10550749103186327</v>
      </c>
      <c r="G13">
        <f t="shared" si="4"/>
        <v>2.743194766828445E-2</v>
      </c>
      <c r="H13">
        <f t="shared" si="4"/>
        <v>0.15699514665541253</v>
      </c>
      <c r="I13">
        <f t="shared" si="4"/>
        <v>0.27537455159316315</v>
      </c>
      <c r="J13">
        <f t="shared" si="4"/>
        <v>0.47246254484068367</v>
      </c>
      <c r="K13">
        <f t="shared" si="4"/>
        <v>0.90989660265878891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7B24-35BA-44AC-A01E-56BABFF6D06F}">
  <dimension ref="B1:K13"/>
  <sheetViews>
    <sheetView tabSelected="1" topLeftCell="A7" zoomScale="126" zoomScaleNormal="87" workbookViewId="0">
      <selection activeCell="K13" sqref="B9:K13"/>
    </sheetView>
  </sheetViews>
  <sheetFormatPr defaultRowHeight="14.5" x14ac:dyDescent="0.35"/>
  <cols>
    <col min="2" max="2" width="10.6328125" customWidth="1"/>
  </cols>
  <sheetData>
    <row r="1" spans="2:11" ht="15" thickBot="1" x14ac:dyDescent="0.4"/>
    <row r="2" spans="2:11" x14ac:dyDescent="0.35">
      <c r="B2" s="2" t="s">
        <v>0</v>
      </c>
      <c r="C2" s="3">
        <v>1000</v>
      </c>
      <c r="D2" s="3">
        <v>5000</v>
      </c>
      <c r="E2" s="3">
        <v>10000</v>
      </c>
      <c r="F2" s="3">
        <v>30000</v>
      </c>
      <c r="G2" s="3">
        <v>50000</v>
      </c>
      <c r="H2" s="3">
        <v>75000</v>
      </c>
      <c r="I2" s="3">
        <v>85000</v>
      </c>
      <c r="J2" s="3">
        <v>100000</v>
      </c>
      <c r="K2" s="4">
        <v>110000</v>
      </c>
    </row>
    <row r="3" spans="2:11" x14ac:dyDescent="0.35">
      <c r="B3" s="5" t="s">
        <v>1</v>
      </c>
      <c r="C3" s="1">
        <v>10</v>
      </c>
      <c r="D3" s="1">
        <v>10</v>
      </c>
      <c r="E3" s="1">
        <v>10</v>
      </c>
      <c r="F3" s="1">
        <v>10</v>
      </c>
      <c r="G3" s="1">
        <v>10</v>
      </c>
      <c r="H3" s="1">
        <v>10</v>
      </c>
      <c r="I3" s="1">
        <v>10</v>
      </c>
      <c r="J3" s="1">
        <v>10</v>
      </c>
      <c r="K3" s="6">
        <v>10</v>
      </c>
    </row>
    <row r="4" spans="2:11" x14ac:dyDescent="0.35">
      <c r="B4" s="5" t="s">
        <v>2</v>
      </c>
      <c r="C4" s="1">
        <v>0.63</v>
      </c>
      <c r="D4" s="1">
        <v>3</v>
      </c>
      <c r="E4" s="1">
        <v>5.33</v>
      </c>
      <c r="F4" s="1">
        <v>8.84</v>
      </c>
      <c r="G4" s="1">
        <v>9.5299999999999994</v>
      </c>
      <c r="H4" s="10">
        <v>9.7799999999999994</v>
      </c>
      <c r="I4" s="1">
        <v>9.83</v>
      </c>
      <c r="J4" s="1">
        <v>9.8759999999999994</v>
      </c>
      <c r="K4" s="6">
        <v>9.8979999999999997</v>
      </c>
    </row>
    <row r="5" spans="2:11" x14ac:dyDescent="0.35">
      <c r="B5" s="5" t="s">
        <v>3</v>
      </c>
      <c r="C5" s="1">
        <f t="shared" ref="C5:K5" si="0">C4/C3</f>
        <v>6.3E-2</v>
      </c>
      <c r="D5" s="1">
        <f t="shared" si="0"/>
        <v>0.3</v>
      </c>
      <c r="E5" s="1">
        <f t="shared" si="0"/>
        <v>0.53300000000000003</v>
      </c>
      <c r="F5" s="1">
        <f t="shared" si="0"/>
        <v>0.88400000000000001</v>
      </c>
      <c r="G5" s="1">
        <f t="shared" si="0"/>
        <v>0.95299999999999996</v>
      </c>
      <c r="H5" s="1">
        <f t="shared" si="0"/>
        <v>0.97799999999999998</v>
      </c>
      <c r="I5" s="1">
        <f t="shared" si="0"/>
        <v>0.98299999999999998</v>
      </c>
      <c r="J5" s="1">
        <f t="shared" si="0"/>
        <v>0.98759999999999992</v>
      </c>
      <c r="K5" s="6">
        <f t="shared" si="0"/>
        <v>0.98980000000000001</v>
      </c>
    </row>
    <row r="6" spans="2:11" ht="15" thickBot="1" x14ac:dyDescent="0.4">
      <c r="B6" s="7" t="s">
        <v>4</v>
      </c>
      <c r="C6" s="8">
        <f>C5/MAX($C$5:$XX$5)</f>
        <v>6.3649222065063654E-2</v>
      </c>
      <c r="D6" s="8">
        <f t="shared" ref="C6:K6" si="1">D5/MAX($C$5:$XX$5)</f>
        <v>0.30309153364316022</v>
      </c>
      <c r="E6" s="8">
        <f t="shared" si="1"/>
        <v>0.53849262477268134</v>
      </c>
      <c r="F6" s="8">
        <f t="shared" si="1"/>
        <v>0.89310971913517878</v>
      </c>
      <c r="G6" s="8">
        <f t="shared" si="1"/>
        <v>0.96282077187310566</v>
      </c>
      <c r="H6" s="8">
        <f t="shared" si="1"/>
        <v>0.9880783996767023</v>
      </c>
      <c r="I6" s="8">
        <f t="shared" si="1"/>
        <v>0.99312992523742172</v>
      </c>
      <c r="J6" s="8">
        <f t="shared" si="1"/>
        <v>0.9977773287532834</v>
      </c>
      <c r="K6" s="9">
        <f t="shared" si="1"/>
        <v>1</v>
      </c>
    </row>
    <row r="8" spans="2:11" ht="15" thickBot="1" x14ac:dyDescent="0.4"/>
    <row r="9" spans="2:11" x14ac:dyDescent="0.35">
      <c r="B9" s="2" t="s">
        <v>0</v>
      </c>
      <c r="C9" s="3">
        <v>1000</v>
      </c>
      <c r="D9" s="3">
        <v>5000</v>
      </c>
      <c r="E9" s="3">
        <v>10000</v>
      </c>
      <c r="F9" s="3">
        <v>30000</v>
      </c>
      <c r="G9" s="3">
        <v>50000</v>
      </c>
      <c r="H9" s="3">
        <v>75000</v>
      </c>
      <c r="I9" s="3">
        <v>85000</v>
      </c>
      <c r="J9" s="3">
        <v>100000</v>
      </c>
      <c r="K9" s="4">
        <v>110000</v>
      </c>
    </row>
    <row r="10" spans="2:11" x14ac:dyDescent="0.35">
      <c r="B10" s="5" t="s">
        <v>1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>
        <v>10</v>
      </c>
      <c r="J10" s="1">
        <v>10</v>
      </c>
      <c r="K10" s="6">
        <v>10</v>
      </c>
    </row>
    <row r="11" spans="2:11" x14ac:dyDescent="0.35">
      <c r="B11" s="5" t="s">
        <v>2</v>
      </c>
      <c r="C11" s="1">
        <v>1.2509999999999999</v>
      </c>
      <c r="D11" s="1">
        <v>5.3319999999999999</v>
      </c>
      <c r="E11" s="1">
        <v>7.8339999999999996</v>
      </c>
      <c r="F11" s="1">
        <v>9.6679999999999993</v>
      </c>
      <c r="G11" s="1">
        <v>9.8759999999999994</v>
      </c>
      <c r="H11" s="1">
        <v>9.9440000000000008</v>
      </c>
      <c r="I11" s="1">
        <v>9.9570000000000007</v>
      </c>
      <c r="J11" s="1">
        <v>9.9689999999999994</v>
      </c>
      <c r="K11" s="6">
        <v>9.9700000000000006</v>
      </c>
    </row>
    <row r="12" spans="2:11" x14ac:dyDescent="0.35">
      <c r="B12" s="5" t="s">
        <v>3</v>
      </c>
      <c r="C12" s="1">
        <f>C11/C10</f>
        <v>0.12509999999999999</v>
      </c>
      <c r="D12" s="1">
        <f t="shared" ref="D12:G12" si="2">D11/D10</f>
        <v>0.53320000000000001</v>
      </c>
      <c r="E12" s="1">
        <f t="shared" si="2"/>
        <v>0.78339999999999999</v>
      </c>
      <c r="F12" s="1">
        <f t="shared" si="2"/>
        <v>0.96679999999999988</v>
      </c>
      <c r="G12" s="1">
        <f t="shared" si="2"/>
        <v>0.98759999999999992</v>
      </c>
      <c r="H12" s="1">
        <f>H11/H10</f>
        <v>0.99440000000000006</v>
      </c>
      <c r="I12" s="1">
        <f t="shared" ref="I12:K12" si="3">I11/I10</f>
        <v>0.99570000000000003</v>
      </c>
      <c r="J12" s="1">
        <f t="shared" si="3"/>
        <v>0.9968999999999999</v>
      </c>
      <c r="K12" s="6">
        <f t="shared" si="3"/>
        <v>0.99700000000000011</v>
      </c>
    </row>
    <row r="13" spans="2:11" ht="15" thickBot="1" x14ac:dyDescent="0.4">
      <c r="B13" s="7" t="s">
        <v>4</v>
      </c>
      <c r="C13" s="8">
        <f>C12/MAX($C$12:$XX$12)</f>
        <v>0.12547642928786357</v>
      </c>
      <c r="D13" s="8">
        <f t="shared" ref="D13:K13" si="4">D12/MAX($C$12:$XX$12)</f>
        <v>0.53480441323971906</v>
      </c>
      <c r="E13" s="8">
        <f t="shared" si="4"/>
        <v>0.78575727181544619</v>
      </c>
      <c r="F13" s="8">
        <f t="shared" si="4"/>
        <v>0.96970912738214621</v>
      </c>
      <c r="G13" s="8">
        <f t="shared" si="4"/>
        <v>0.99057171514543607</v>
      </c>
      <c r="H13" s="8">
        <f t="shared" si="4"/>
        <v>0.99739217652958867</v>
      </c>
      <c r="I13" s="8">
        <f t="shared" si="4"/>
        <v>0.99869608826479428</v>
      </c>
      <c r="J13" s="8">
        <f t="shared" si="4"/>
        <v>0.99989969909729171</v>
      </c>
      <c r="K13" s="9">
        <f t="shared" si="4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RC-выс</vt:lpstr>
      <vt:lpstr>RL-выс</vt:lpstr>
      <vt:lpstr>RC-низ</vt:lpstr>
      <vt:lpstr>RL-низ</vt:lpstr>
      <vt:lpstr>TRC-выс</vt:lpstr>
      <vt:lpstr>TRC-низ</vt:lpstr>
      <vt:lpstr>ПRC-выс</vt:lpstr>
      <vt:lpstr>ПRC-низ</vt:lpstr>
      <vt:lpstr>RLC-заг</vt:lpstr>
      <vt:lpstr>RLC-пол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Zhivov</dc:creator>
  <cp:lastModifiedBy>melon</cp:lastModifiedBy>
  <dcterms:created xsi:type="dcterms:W3CDTF">2024-09-24T12:30:01Z</dcterms:created>
  <dcterms:modified xsi:type="dcterms:W3CDTF">2025-09-24T17:09:55Z</dcterms:modified>
</cp:coreProperties>
</file>